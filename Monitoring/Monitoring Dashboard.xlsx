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76" activeTab="2"/>
  </bookViews>
  <sheets>
    <sheet name="Ticket Size" sheetId="1" r:id="rId1"/>
    <sheet name="12 Months Portfolio" sheetId="2" r:id="rId2"/>
    <sheet name="Portfolio" sheetId="3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<sst xmlns="http://schemas.openxmlformats.org/spreadsheetml/2006/main" count="601" uniqueCount="209">
  <si>
    <t>Below 10 Lac</t>
  </si>
  <si>
    <t>10–20 Lac</t>
  </si>
  <si>
    <t>Area/Territory/Region</t>
  </si>
  <si>
    <t>Collectable</t>
  </si>
  <si>
    <t>Collection</t>
  </si>
  <si>
    <t>Collectable vs Collection</t>
  </si>
  <si>
    <t>EMI</t>
  </si>
  <si>
    <t>EMI vs Collection</t>
  </si>
  <si>
    <t>Portfolio</t>
  </si>
  <si>
    <t>NPL</t>
  </si>
  <si>
    <t>NPL %</t>
  </si>
  <si>
    <t>PAR</t>
  </si>
  <si>
    <t>PAR %</t>
  </si>
  <si>
    <t>EMS vs Collection</t>
  </si>
  <si>
    <t>Elephant Road</t>
  </si>
  <si>
    <t>Moghbazar</t>
  </si>
  <si>
    <t>Elephant Road Territory</t>
  </si>
  <si>
    <t>Badda</t>
  </si>
  <si>
    <t>Banasree</t>
  </si>
  <si>
    <t>Gulshan Territory</t>
  </si>
  <si>
    <t>Fatullah</t>
  </si>
  <si>
    <t>Narayangonj</t>
  </si>
  <si>
    <t>Shiddirgonj</t>
  </si>
  <si>
    <t>Narayangonj Territory</t>
  </si>
  <si>
    <t>Dhaka-1 Region</t>
  </si>
  <si>
    <t>Hasnabad</t>
  </si>
  <si>
    <t>Kamrangirchar</t>
  </si>
  <si>
    <t>Keranigonj</t>
  </si>
  <si>
    <t>Zinzira</t>
  </si>
  <si>
    <t>Keranigonj Territory</t>
  </si>
  <si>
    <t>Bhanga</t>
  </si>
  <si>
    <t>Faridpur</t>
  </si>
  <si>
    <t>Gopalgonj</t>
  </si>
  <si>
    <t>Rajbari</t>
  </si>
  <si>
    <t>Shariatpur</t>
  </si>
  <si>
    <t>Faridpur Territory</t>
  </si>
  <si>
    <t>Baligaon</t>
  </si>
  <si>
    <t>Nawabgonj</t>
  </si>
  <si>
    <t>Sreenagar</t>
  </si>
  <si>
    <t>Munshiganj Territory</t>
  </si>
  <si>
    <t>Faridpur Region</t>
  </si>
  <si>
    <t>Bharaib</t>
  </si>
  <si>
    <t>Kotiadi</t>
  </si>
  <si>
    <t>Kishoreganj</t>
  </si>
  <si>
    <t>Kishoreganj Territory</t>
  </si>
  <si>
    <t>Bhulta</t>
  </si>
  <si>
    <t>Narsingdi</t>
  </si>
  <si>
    <t>Narsingdi Territory</t>
  </si>
  <si>
    <t>Narsingdi Region</t>
  </si>
  <si>
    <t>Jessore</t>
  </si>
  <si>
    <t>Jikorgacha</t>
  </si>
  <si>
    <t>Keshobpur</t>
  </si>
  <si>
    <t>Magura</t>
  </si>
  <si>
    <t>Narail</t>
  </si>
  <si>
    <t>Jessore Territory</t>
  </si>
  <si>
    <t>Bagerhat</t>
  </si>
  <si>
    <t>Daulatpur</t>
  </si>
  <si>
    <t>Khulna</t>
  </si>
  <si>
    <t>Sathkhira</t>
  </si>
  <si>
    <t>Khulna Territory</t>
  </si>
  <si>
    <t>Khulna Region</t>
  </si>
  <si>
    <t>Zone 1</t>
  </si>
  <si>
    <t>Ashulia</t>
  </si>
  <si>
    <t>DEPZ</t>
  </si>
  <si>
    <t>Tongi</t>
  </si>
  <si>
    <t>Dakshin</t>
  </si>
  <si>
    <t>Tongi Territory</t>
  </si>
  <si>
    <t>Gazipur</t>
  </si>
  <si>
    <t>Joydebpur</t>
  </si>
  <si>
    <t>Konabari</t>
  </si>
  <si>
    <t>Sreepur</t>
  </si>
  <si>
    <t>Kaliakair</t>
  </si>
  <si>
    <t>Gazipur Territory</t>
  </si>
  <si>
    <t>Gazipur Region</t>
  </si>
  <si>
    <t>Jamalpur</t>
  </si>
  <si>
    <t>Mymensingh</t>
  </si>
  <si>
    <t>Sherpur</t>
  </si>
  <si>
    <t>Mymensingh Territory</t>
  </si>
  <si>
    <t>Mymensingh Region</t>
  </si>
  <si>
    <t>Bheramara</t>
  </si>
  <si>
    <t>Chuadanga</t>
  </si>
  <si>
    <t>Jhenaidah</t>
  </si>
  <si>
    <t>Kushtia</t>
  </si>
  <si>
    <t>Kushtia Territory</t>
  </si>
  <si>
    <t>C. Nawabganj</t>
  </si>
  <si>
    <t>Rajshahi</t>
  </si>
  <si>
    <t>Rajshahi Territory</t>
  </si>
  <si>
    <t>Rajshahi Region</t>
  </si>
  <si>
    <t>Zone 2</t>
  </si>
  <si>
    <t>Imamgonj</t>
  </si>
  <si>
    <t>Islambagh</t>
  </si>
  <si>
    <t>Islampur Road</t>
  </si>
  <si>
    <t>Shambazar</t>
  </si>
  <si>
    <t>Islampur Territory</t>
  </si>
  <si>
    <t>Gulistan</t>
  </si>
  <si>
    <t>Nawabpur</t>
  </si>
  <si>
    <t>Motijheel Territory</t>
  </si>
  <si>
    <t>Jatrabari</t>
  </si>
  <si>
    <t>Sonir Akhra</t>
  </si>
  <si>
    <t>Zurain</t>
  </si>
  <si>
    <t>Jatrabari Territory</t>
  </si>
  <si>
    <t>Dhaka-2 Region</t>
  </si>
  <si>
    <t>Agailjhara</t>
  </si>
  <si>
    <t>Barishal</t>
  </si>
  <si>
    <t>Swarupkathi</t>
  </si>
  <si>
    <t>Barishal Territory</t>
  </si>
  <si>
    <t>Barguna</t>
  </si>
  <si>
    <t>Bhola</t>
  </si>
  <si>
    <t>Patuakhali</t>
  </si>
  <si>
    <t>Patuakhali Territory</t>
  </si>
  <si>
    <t>Barishal Region</t>
  </si>
  <si>
    <t>Kazipara</t>
  </si>
  <si>
    <t>Mirpur</t>
  </si>
  <si>
    <t>Mohammadpur</t>
  </si>
  <si>
    <t xml:space="preserve">Pallabi </t>
  </si>
  <si>
    <t>Mirpur Territory</t>
  </si>
  <si>
    <t>Dhamrai</t>
  </si>
  <si>
    <t>Savar</t>
  </si>
  <si>
    <t>Savar-2</t>
  </si>
  <si>
    <t>Manikgonj</t>
  </si>
  <si>
    <t>Savar Territory</t>
  </si>
  <si>
    <t>Ghatail</t>
  </si>
  <si>
    <t>Tangail</t>
  </si>
  <si>
    <t>Tangail Territory</t>
  </si>
  <si>
    <t>Mirpur Region</t>
  </si>
  <si>
    <t>Zone 3</t>
  </si>
  <si>
    <t xml:space="preserve">Bandartila </t>
  </si>
  <si>
    <t>Halishahar</t>
  </si>
  <si>
    <t>Kadamtali</t>
  </si>
  <si>
    <t>Pahartali</t>
  </si>
  <si>
    <t>CTG North Territory</t>
  </si>
  <si>
    <t>Chawk Bazar</t>
  </si>
  <si>
    <t>Hathazari</t>
  </si>
  <si>
    <t>Kalurghat</t>
  </si>
  <si>
    <t>CTG South Territory</t>
  </si>
  <si>
    <t>Anderkilla</t>
  </si>
  <si>
    <t>Khatungonj</t>
  </si>
  <si>
    <t>Nondon Kanon</t>
  </si>
  <si>
    <t>CTG Central Territory</t>
  </si>
  <si>
    <t>Cox's Bazar</t>
  </si>
  <si>
    <t>Lohagora, CTG</t>
  </si>
  <si>
    <t>Potiya</t>
  </si>
  <si>
    <t>Cox's Bazar Territory</t>
  </si>
  <si>
    <t>Chittagong Region</t>
  </si>
  <si>
    <t>Chauddagram</t>
  </si>
  <si>
    <t>Comilla East</t>
  </si>
  <si>
    <t>Comilla West</t>
  </si>
  <si>
    <t>Hazigonj</t>
  </si>
  <si>
    <t>Comilla Territory</t>
  </si>
  <si>
    <t>Feni</t>
  </si>
  <si>
    <t>Laksham</t>
  </si>
  <si>
    <t>Nangolkot</t>
  </si>
  <si>
    <t>Feni Territory</t>
  </si>
  <si>
    <t>Choumohoni</t>
  </si>
  <si>
    <t>Laxmipur</t>
  </si>
  <si>
    <t>Maijdee</t>
  </si>
  <si>
    <t>Noakhali Territory</t>
  </si>
  <si>
    <t>Comilla Region</t>
  </si>
  <si>
    <t>Bancharampur</t>
  </si>
  <si>
    <t>Brahmanbaria</t>
  </si>
  <si>
    <t>Chandina</t>
  </si>
  <si>
    <t>Companygonj</t>
  </si>
  <si>
    <t>Brahmanbaria Territory</t>
  </si>
  <si>
    <t>Hobigonj</t>
  </si>
  <si>
    <t>Kosba</t>
  </si>
  <si>
    <t>Madhabpur</t>
  </si>
  <si>
    <t>Shaheshtagonj</t>
  </si>
  <si>
    <t>Hobigonj Territory</t>
  </si>
  <si>
    <t>Ambarkhana</t>
  </si>
  <si>
    <t xml:space="preserve">Kulaura </t>
  </si>
  <si>
    <t>South Surma</t>
  </si>
  <si>
    <t>Sylhet Territory</t>
  </si>
  <si>
    <t>Sylhet Region</t>
  </si>
  <si>
    <t>Zone 4</t>
  </si>
  <si>
    <t>Ishwardi</t>
  </si>
  <si>
    <t>Pabna</t>
  </si>
  <si>
    <t>Pabna Territory</t>
  </si>
  <si>
    <t>Bogura</t>
  </si>
  <si>
    <t>Gaibandha</t>
  </si>
  <si>
    <t>Sirajgonj</t>
  </si>
  <si>
    <t>Bogura Territory</t>
  </si>
  <si>
    <t>Joypurhat</t>
  </si>
  <si>
    <t>Naogaon</t>
  </si>
  <si>
    <t>Naogaon Territory</t>
  </si>
  <si>
    <t>Bogra Region</t>
  </si>
  <si>
    <t>Dinajpur</t>
  </si>
  <si>
    <t>Fulbari</t>
  </si>
  <si>
    <t>Syedpur</t>
  </si>
  <si>
    <t>Dinajpur Territory</t>
  </si>
  <si>
    <t>Kurigram</t>
  </si>
  <si>
    <t>Rangpur</t>
  </si>
  <si>
    <t>Rangpur Territory</t>
  </si>
  <si>
    <t>Panchaghar</t>
  </si>
  <si>
    <t>Thakurgaon</t>
  </si>
  <si>
    <t>Thakurgoan Territory</t>
  </si>
  <si>
    <t>Rangpur Region</t>
  </si>
  <si>
    <t xml:space="preserve">Zone 5 </t>
  </si>
  <si>
    <t>Total Small Business</t>
  </si>
  <si>
    <t>Last 12 Months</t>
  </si>
  <si>
    <t>Area/Territory/Region/Zone</t>
  </si>
  <si>
    <t>Outstanding</t>
  </si>
  <si>
    <t>Installment Amount</t>
  </si>
  <si>
    <t>EMI%</t>
  </si>
  <si>
    <t>Collection %</t>
  </si>
  <si>
    <t>Collection vs Outstanding %</t>
  </si>
  <si>
    <t>PAR OS</t>
  </si>
  <si>
    <t>NPL OS</t>
  </si>
  <si>
    <t/>
  </si>
  <si>
    <t>Country 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</si>
</sst>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  <numFmt numFmtId="178" formatCode="0.0%"/>
  </numFmts>
  <fonts count="2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9"/>
      <name val="Calibri"/>
      <charset val="134"/>
      <scheme val="minor"/>
    </font>
    <font>
      <sz val="9"/>
      <name val="Calibri"/>
      <charset val="134"/>
      <scheme val="minor"/>
    </font>
    <font>
      <sz val="9"/>
      <name val="Calibri"/>
      <charset val="134"/>
      <scheme val="minor"/>
    </font>
    <font>
      <b/>
      <sz val="10"/>
      <color theme="0"/>
      <name val="Arial"/>
      <charset val="134"/>
    </font>
    <font>
      <b/>
      <sz val="9"/>
      <color theme="0"/>
      <name val="Arial"/>
      <charset val="134"/>
    </font>
    <font>
      <sz val="9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theme="4" tint="0.79998168889431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53805"/>
        <bgColor theme="4" tint="0.799981688894314"/>
      </patternFill>
    </fill>
    <fill>
      <patternFill patternType="solid">
        <fgColor rgb="FF002060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19" fillId="14" borderId="6" applyNumberFormat="0" applyAlignment="0" applyProtection="0">
      <alignment vertical="center"/>
    </xf>
    <xf numFmtId="0" fontId="20" fillId="15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Font="1" applyFill="1" applyAlignment="1"/>
    <xf numFmtId="177" fontId="0" fillId="0" borderId="0" xfId="1" applyNumberFormat="1" applyFont="1"/>
    <xf numFmtId="10" fontId="0" fillId="0" borderId="0" xfId="3" applyNumberFormat="1" applyFont="1"/>
    <xf numFmtId="0" fontId="1" fillId="0" borderId="0" xfId="0" applyFont="1" applyFill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/>
    </xf>
    <xf numFmtId="177" fontId="1" fillId="3" borderId="1" xfId="1" applyNumberFormat="1" applyFont="1" applyFill="1" applyBorder="1" applyAlignment="1">
      <alignment horizontal="center"/>
    </xf>
    <xf numFmtId="10" fontId="2" fillId="2" borderId="1" xfId="3" applyNumberFormat="1" applyFont="1" applyFill="1" applyBorder="1" applyAlignment="1">
      <alignment horizontal="center" vertical="center" wrapText="1"/>
    </xf>
    <xf numFmtId="177" fontId="3" fillId="4" borderId="1" xfId="1" applyNumberFormat="1" applyFont="1" applyFill="1" applyBorder="1" applyAlignment="1">
      <alignment horizontal="center" vertical="center" wrapText="1"/>
    </xf>
    <xf numFmtId="10" fontId="3" fillId="4" borderId="1" xfId="3" applyNumberFormat="1" applyFont="1" applyFill="1" applyBorder="1" applyAlignment="1">
      <alignment horizontal="center" vertical="center" wrapText="1"/>
    </xf>
    <xf numFmtId="43" fontId="4" fillId="0" borderId="1" xfId="49" applyFont="1" applyFill="1" applyBorder="1" applyAlignment="1">
      <alignment horizontal="center" vertical="center"/>
    </xf>
    <xf numFmtId="177" fontId="4" fillId="0" borderId="1" xfId="1" applyNumberFormat="1" applyFont="1" applyFill="1" applyBorder="1" applyAlignment="1">
      <alignment horizontal="center" vertical="center"/>
    </xf>
    <xf numFmtId="10" fontId="4" fillId="0" borderId="1" xfId="3" applyNumberFormat="1" applyFont="1" applyFill="1" applyBorder="1" applyAlignment="1">
      <alignment horizontal="center" vertical="center"/>
    </xf>
    <xf numFmtId="177" fontId="5" fillId="0" borderId="1" xfId="1" applyNumberFormat="1" applyFont="1" applyFill="1" applyBorder="1" applyAlignment="1">
      <alignment horizontal="center" vertical="center"/>
    </xf>
    <xf numFmtId="10" fontId="5" fillId="0" borderId="1" xfId="3" applyNumberFormat="1" applyFont="1" applyFill="1" applyBorder="1" applyAlignment="1">
      <alignment horizontal="center" vertical="center"/>
    </xf>
    <xf numFmtId="43" fontId="2" fillId="2" borderId="1" xfId="49" applyFont="1" applyFill="1" applyBorder="1" applyAlignment="1">
      <alignment horizontal="center" vertical="center"/>
    </xf>
    <xf numFmtId="177" fontId="2" fillId="2" borderId="1" xfId="1" applyNumberFormat="1" applyFont="1" applyFill="1" applyBorder="1" applyAlignment="1">
      <alignment horizontal="center" vertical="center"/>
    </xf>
    <xf numFmtId="10" fontId="2" fillId="2" borderId="1" xfId="3" applyNumberFormat="1" applyFont="1" applyFill="1" applyBorder="1" applyAlignment="1">
      <alignment horizontal="center" vertical="center"/>
    </xf>
    <xf numFmtId="177" fontId="3" fillId="5" borderId="1" xfId="1" applyNumberFormat="1" applyFont="1" applyFill="1" applyBorder="1" applyAlignment="1">
      <alignment horizontal="center" vertical="center"/>
    </xf>
    <xf numFmtId="10" fontId="3" fillId="5" borderId="1" xfId="3" applyNumberFormat="1" applyFont="1" applyFill="1" applyBorder="1" applyAlignment="1">
      <alignment horizontal="center" vertical="center"/>
    </xf>
    <xf numFmtId="43" fontId="2" fillId="6" borderId="1" xfId="49" applyFont="1" applyFill="1" applyBorder="1" applyAlignment="1">
      <alignment horizontal="center" vertical="center"/>
    </xf>
    <xf numFmtId="177" fontId="2" fillId="6" borderId="1" xfId="1" applyNumberFormat="1" applyFont="1" applyFill="1" applyBorder="1" applyAlignment="1">
      <alignment horizontal="center" vertical="center"/>
    </xf>
    <xf numFmtId="10" fontId="2" fillId="6" borderId="1" xfId="3" applyNumberFormat="1" applyFont="1" applyFill="1" applyBorder="1" applyAlignment="1">
      <alignment horizontal="center" vertical="center"/>
    </xf>
    <xf numFmtId="177" fontId="3" fillId="7" borderId="1" xfId="1" applyNumberFormat="1" applyFont="1" applyFill="1" applyBorder="1" applyAlignment="1">
      <alignment horizontal="center" vertical="center"/>
    </xf>
    <xf numFmtId="10" fontId="3" fillId="7" borderId="1" xfId="3" applyNumberFormat="1" applyFont="1" applyFill="1" applyBorder="1" applyAlignment="1">
      <alignment horizontal="center" vertical="center"/>
    </xf>
    <xf numFmtId="43" fontId="2" fillId="8" borderId="1" xfId="49" applyFont="1" applyFill="1" applyBorder="1" applyAlignment="1">
      <alignment horizontal="center" vertical="center"/>
    </xf>
    <xf numFmtId="177" fontId="2" fillId="8" borderId="1" xfId="1" applyNumberFormat="1" applyFont="1" applyFill="1" applyBorder="1" applyAlignment="1">
      <alignment horizontal="center" vertical="center"/>
    </xf>
    <xf numFmtId="10" fontId="2" fillId="8" borderId="1" xfId="3" applyNumberFormat="1" applyFont="1" applyFill="1" applyBorder="1" applyAlignment="1">
      <alignment horizontal="center" vertical="center"/>
    </xf>
    <xf numFmtId="177" fontId="3" fillId="8" borderId="1" xfId="1" applyNumberFormat="1" applyFont="1" applyFill="1" applyBorder="1" applyAlignment="1">
      <alignment horizontal="center" vertical="center"/>
    </xf>
    <xf numFmtId="10" fontId="3" fillId="8" borderId="1" xfId="3" applyNumberFormat="1" applyFont="1" applyFill="1" applyBorder="1" applyAlignment="1">
      <alignment horizontal="center" vertical="center"/>
    </xf>
    <xf numFmtId="43" fontId="2" fillId="9" borderId="1" xfId="49" applyFont="1" applyFill="1" applyBorder="1" applyAlignment="1">
      <alignment horizontal="center" vertical="center"/>
    </xf>
    <xf numFmtId="177" fontId="2" fillId="9" borderId="1" xfId="1" applyNumberFormat="1" applyFont="1" applyFill="1" applyBorder="1" applyAlignment="1">
      <alignment horizontal="center" vertical="center"/>
    </xf>
    <xf numFmtId="10" fontId="2" fillId="9" borderId="1" xfId="3" applyNumberFormat="1" applyFont="1" applyFill="1" applyBorder="1" applyAlignment="1">
      <alignment horizontal="center" vertical="center"/>
    </xf>
    <xf numFmtId="177" fontId="3" fillId="9" borderId="1" xfId="1" applyNumberFormat="1" applyFont="1" applyFill="1" applyBorder="1" applyAlignment="1">
      <alignment horizontal="center" vertical="center"/>
    </xf>
    <xf numFmtId="10" fontId="3" fillId="9" borderId="1" xfId="3" applyNumberFormat="1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/>
    </xf>
    <xf numFmtId="0" fontId="2" fillId="2" borderId="1" xfId="49" applyNumberFormat="1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/>
    </xf>
    <xf numFmtId="178" fontId="7" fillId="10" borderId="2" xfId="3" applyNumberFormat="1" applyFont="1" applyFill="1" applyBorder="1" applyAlignment="1">
      <alignment horizontal="center" vertical="center"/>
    </xf>
    <xf numFmtId="0" fontId="6" fillId="10" borderId="2" xfId="0" applyNumberFormat="1" applyFont="1" applyFill="1" applyBorder="1" applyAlignment="1">
      <alignment horizontal="center" vertical="center"/>
    </xf>
    <xf numFmtId="43" fontId="4" fillId="0" borderId="1" xfId="49" applyFont="1" applyFill="1" applyBorder="1" applyAlignment="1">
      <alignment horizontal="left" vertical="center"/>
    </xf>
    <xf numFmtId="177" fontId="0" fillId="0" borderId="0" xfId="1" applyNumberFormat="1" applyFont="1" applyBorder="1" applyAlignment="1">
      <alignment horizontal="right"/>
    </xf>
    <xf numFmtId="178" fontId="8" fillId="0" borderId="0" xfId="3" applyNumberFormat="1" applyFont="1" applyBorder="1" applyAlignment="1">
      <alignment horizontal="right"/>
    </xf>
    <xf numFmtId="177" fontId="0" fillId="0" borderId="0" xfId="1" applyNumberFormat="1" applyFont="1" applyAlignment="1">
      <alignment horizontal="right"/>
    </xf>
    <xf numFmtId="178" fontId="8" fillId="0" borderId="0" xfId="3" applyNumberFormat="1" applyFont="1" applyAlignment="1">
      <alignment horizontal="right"/>
    </xf>
    <xf numFmtId="43" fontId="2" fillId="2" borderId="1" xfId="49" applyFont="1" applyFill="1" applyBorder="1" applyAlignment="1">
      <alignment horizontal="left" vertical="center"/>
    </xf>
    <xf numFmtId="177" fontId="2" fillId="2" borderId="1" xfId="1" applyNumberFormat="1" applyFont="1" applyFill="1" applyBorder="1" applyAlignment="1">
      <alignment horizontal="right" vertical="center"/>
    </xf>
    <xf numFmtId="178" fontId="2" fillId="2" borderId="1" xfId="3" applyNumberFormat="1" applyFont="1" applyFill="1" applyBorder="1" applyAlignment="1">
      <alignment horizontal="right" vertical="center"/>
    </xf>
    <xf numFmtId="43" fontId="2" fillId="6" borderId="1" xfId="49" applyFont="1" applyFill="1" applyBorder="1" applyAlignment="1">
      <alignment horizontal="left" vertical="center"/>
    </xf>
    <xf numFmtId="177" fontId="2" fillId="6" borderId="1" xfId="1" applyNumberFormat="1" applyFont="1" applyFill="1" applyBorder="1" applyAlignment="1">
      <alignment horizontal="right" vertical="center"/>
    </xf>
    <xf numFmtId="178" fontId="2" fillId="6" borderId="1" xfId="3" applyNumberFormat="1" applyFont="1" applyFill="1" applyBorder="1" applyAlignment="1">
      <alignment horizontal="right" vertical="center"/>
    </xf>
    <xf numFmtId="43" fontId="2" fillId="8" borderId="1" xfId="49" applyFont="1" applyFill="1" applyBorder="1" applyAlignment="1">
      <alignment horizontal="left" vertical="center"/>
    </xf>
    <xf numFmtId="177" fontId="2" fillId="8" borderId="1" xfId="1" applyNumberFormat="1" applyFont="1" applyFill="1" applyBorder="1" applyAlignment="1">
      <alignment horizontal="right" vertical="center"/>
    </xf>
    <xf numFmtId="178" fontId="2" fillId="8" borderId="1" xfId="3" applyNumberFormat="1" applyFont="1" applyFill="1" applyBorder="1" applyAlignment="1">
      <alignment horizontal="right" vertical="center"/>
    </xf>
    <xf numFmtId="43" fontId="2" fillId="9" borderId="1" xfId="49" applyFont="1" applyFill="1" applyBorder="1" applyAlignment="1">
      <alignment horizontal="left" vertical="center"/>
    </xf>
    <xf numFmtId="177" fontId="2" fillId="9" borderId="1" xfId="1" applyNumberFormat="1" applyFont="1" applyFill="1" applyBorder="1" applyAlignment="1">
      <alignment horizontal="right" vertical="center"/>
    </xf>
    <xf numFmtId="178" fontId="2" fillId="9" borderId="1" xfId="3" applyNumberFormat="1" applyFont="1" applyFill="1" applyBorder="1" applyAlignment="1">
      <alignment horizontal="right" vertical="center"/>
    </xf>
    <xf numFmtId="10" fontId="2" fillId="9" borderId="1" xfId="3" applyNumberFormat="1" applyFont="1" applyFill="1" applyBorder="1" applyAlignment="1">
      <alignment horizontal="right" vertical="center"/>
    </xf>
    <xf numFmtId="178" fontId="7" fillId="10" borderId="2" xfId="3" applyNumberFormat="1" applyFont="1" applyFill="1" applyBorder="1" applyAlignment="1">
      <alignment horizontal="right"/>
    </xf>
    <xf numFmtId="0" fontId="6" fillId="11" borderId="2" xfId="0" applyFont="1" applyFill="1" applyBorder="1" applyAlignment="1">
      <alignment horizontal="center"/>
    </xf>
    <xf numFmtId="0" fontId="6" fillId="11" borderId="2" xfId="0" applyFont="1" applyFill="1" applyBorder="1" applyAlignment="1">
      <alignment horizontal="center" vertical="center"/>
    </xf>
    <xf numFmtId="178" fontId="7" fillId="11" borderId="2" xfId="3" applyNumberFormat="1" applyFont="1" applyFill="1" applyBorder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2026\Monthly%20Overdue%20Report%2031th-Mar'26_Working_Mai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2026\Under%20Writting\Monthly%20Overdue%20Report%2031th-Mar'26_WR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erritory &amp; Region"/>
      <sheetName val="Unit wise"/>
      <sheetName val="Area wise"/>
      <sheetName val="Sheet7"/>
      <sheetName val="Sheet9"/>
      <sheetName val="IB_Pivot"/>
      <sheetName val="Ticket Size Wise Details-IB"/>
      <sheetName val="FVL"/>
      <sheetName val="Sheet1"/>
      <sheetName val="Sheet2"/>
      <sheetName val="Sheet3"/>
      <sheetName val="IB"/>
      <sheetName val="Sheet5"/>
      <sheetName val="SB_Ticket Size Wise"/>
      <sheetName val="ticket_pivot"/>
      <sheetName val="Month Wise Details-WR"/>
      <sheetName val="Ticket Size Wise Details-SB"/>
      <sheetName val="NPL"/>
      <sheetName val="PAR"/>
      <sheetName val="Sheet12"/>
      <sheetName val="S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A6" t="str">
            <v>Agailjhara</v>
          </cell>
          <cell r="B6">
            <v>5753023.32</v>
          </cell>
          <cell r="C6">
            <v>3244259.4</v>
          </cell>
          <cell r="D6">
            <v>3193335.61</v>
          </cell>
          <cell r="E6">
            <v>10189538.62</v>
          </cell>
          <cell r="F6">
            <v>7636415.9</v>
          </cell>
          <cell r="G6">
            <v>7615248.16</v>
          </cell>
          <cell r="H6">
            <v>10137709.68</v>
          </cell>
          <cell r="I6">
            <v>7150614.32</v>
          </cell>
          <cell r="J6">
            <v>7063490.79</v>
          </cell>
          <cell r="K6">
            <v>5527033.73</v>
          </cell>
          <cell r="L6">
            <v>3989024.15</v>
          </cell>
          <cell r="M6">
            <v>3985370.71</v>
          </cell>
          <cell r="N6">
            <v>1472753.13</v>
          </cell>
          <cell r="O6">
            <v>1473805.98</v>
          </cell>
          <cell r="P6">
            <v>1472753.13</v>
          </cell>
          <cell r="Q6">
            <v>1403840.25</v>
          </cell>
          <cell r="R6">
            <v>1405659.71</v>
          </cell>
          <cell r="S6">
            <v>1403840.25</v>
          </cell>
          <cell r="T6">
            <v>34483898.73</v>
          </cell>
          <cell r="U6">
            <v>24899779.46</v>
          </cell>
          <cell r="V6">
            <v>24734038.65</v>
          </cell>
        </row>
        <row r="7">
          <cell r="A7" t="str">
            <v>Ambarkhana</v>
          </cell>
          <cell r="B7">
            <v>7506049.04</v>
          </cell>
          <cell r="C7">
            <v>5245125.31</v>
          </cell>
          <cell r="D7">
            <v>5056067.67</v>
          </cell>
          <cell r="E7">
            <v>15686989.03</v>
          </cell>
          <cell r="F7">
            <v>13714128.05</v>
          </cell>
          <cell r="G7">
            <v>13535566.66</v>
          </cell>
          <cell r="H7">
            <v>3345236.6</v>
          </cell>
          <cell r="I7">
            <v>3225626.1</v>
          </cell>
          <cell r="J7">
            <v>3222828.82</v>
          </cell>
          <cell r="K7">
            <v>0</v>
          </cell>
        </row>
        <row r="7">
          <cell r="M7">
            <v>0</v>
          </cell>
        </row>
        <row r="7">
          <cell r="Q7">
            <v>512664.45</v>
          </cell>
          <cell r="R7">
            <v>512664.45</v>
          </cell>
          <cell r="S7">
            <v>512664.45</v>
          </cell>
          <cell r="T7">
            <v>27050939.12</v>
          </cell>
          <cell r="U7">
            <v>22697543.91</v>
          </cell>
          <cell r="V7">
            <v>22327127.6</v>
          </cell>
        </row>
        <row r="8">
          <cell r="A8" t="str">
            <v>Anderkilla</v>
          </cell>
          <cell r="B8">
            <v>957688.51</v>
          </cell>
          <cell r="C8">
            <v>27732.26</v>
          </cell>
          <cell r="D8">
            <v>27732.26</v>
          </cell>
          <cell r="E8">
            <v>21024593.86</v>
          </cell>
          <cell r="F8">
            <v>8275343.63</v>
          </cell>
          <cell r="G8">
            <v>7848176.42</v>
          </cell>
          <cell r="H8">
            <v>37715077.04</v>
          </cell>
          <cell r="I8">
            <v>17925015.12</v>
          </cell>
          <cell r="J8">
            <v>17332455.37</v>
          </cell>
          <cell r="K8">
            <v>4143022.48</v>
          </cell>
          <cell r="L8">
            <v>3914124.7</v>
          </cell>
          <cell r="M8">
            <v>3900928.66</v>
          </cell>
          <cell r="N8">
            <v>2138241.3</v>
          </cell>
          <cell r="O8">
            <v>2141292.92</v>
          </cell>
          <cell r="P8">
            <v>2138241.3</v>
          </cell>
          <cell r="Q8">
            <v>5703642.01</v>
          </cell>
          <cell r="R8">
            <v>5478380.9</v>
          </cell>
          <cell r="S8">
            <v>5119287.72</v>
          </cell>
          <cell r="T8">
            <v>71682265.2</v>
          </cell>
          <cell r="U8">
            <v>37761889.53</v>
          </cell>
          <cell r="V8">
            <v>36366821.73</v>
          </cell>
        </row>
        <row r="9">
          <cell r="A9" t="str">
            <v>Ashulia</v>
          </cell>
          <cell r="B9">
            <v>564045.73</v>
          </cell>
          <cell r="C9">
            <v>169675.05</v>
          </cell>
          <cell r="D9">
            <v>169465.23</v>
          </cell>
          <cell r="E9">
            <v>5816029.83</v>
          </cell>
          <cell r="F9">
            <v>3776910.19</v>
          </cell>
          <cell r="G9">
            <v>3744744.23</v>
          </cell>
          <cell r="H9">
            <v>10933588.05</v>
          </cell>
          <cell r="I9">
            <v>6838451.3</v>
          </cell>
          <cell r="J9">
            <v>6664874.62</v>
          </cell>
          <cell r="K9">
            <v>1419963.85</v>
          </cell>
          <cell r="L9">
            <v>1420367.95</v>
          </cell>
          <cell r="M9">
            <v>1419963.85</v>
          </cell>
          <cell r="N9">
            <v>1510681.7</v>
          </cell>
          <cell r="O9">
            <v>1572284.69</v>
          </cell>
          <cell r="P9">
            <v>1368688.46</v>
          </cell>
          <cell r="Q9">
            <v>5765820.49</v>
          </cell>
          <cell r="R9">
            <v>5495581.07</v>
          </cell>
          <cell r="S9">
            <v>4952848</v>
          </cell>
          <cell r="T9">
            <v>26010129.65</v>
          </cell>
          <cell r="U9">
            <v>19273270.25</v>
          </cell>
          <cell r="V9">
            <v>18320584.39</v>
          </cell>
        </row>
        <row r="10">
          <cell r="A10" t="str">
            <v>Badda</v>
          </cell>
          <cell r="B10">
            <v>1489164.67</v>
          </cell>
          <cell r="C10">
            <v>515517.2</v>
          </cell>
          <cell r="D10">
            <v>452821.96</v>
          </cell>
          <cell r="E10">
            <v>11745644.94</v>
          </cell>
          <cell r="F10">
            <v>8173884.85</v>
          </cell>
          <cell r="G10">
            <v>7882054.14</v>
          </cell>
          <cell r="H10">
            <v>20957343.7</v>
          </cell>
          <cell r="I10">
            <v>16935305.95</v>
          </cell>
          <cell r="J10">
            <v>16405838.12</v>
          </cell>
          <cell r="K10">
            <v>5389095.08</v>
          </cell>
          <cell r="L10">
            <v>4590894</v>
          </cell>
          <cell r="M10">
            <v>4302221.39</v>
          </cell>
          <cell r="N10">
            <v>3770399.17</v>
          </cell>
          <cell r="O10">
            <v>3165166.56</v>
          </cell>
          <cell r="P10">
            <v>3101735.56</v>
          </cell>
          <cell r="Q10">
            <v>6045660.97</v>
          </cell>
          <cell r="R10">
            <v>4487289.34</v>
          </cell>
          <cell r="S10">
            <v>3157748.77</v>
          </cell>
          <cell r="T10">
            <v>49397308.53</v>
          </cell>
          <cell r="U10">
            <v>37868057.9</v>
          </cell>
          <cell r="V10">
            <v>35302419.94</v>
          </cell>
        </row>
        <row r="11">
          <cell r="A11" t="str">
            <v>Bagerhat</v>
          </cell>
          <cell r="B11">
            <v>4133402.97</v>
          </cell>
          <cell r="C11">
            <v>2305029.77</v>
          </cell>
          <cell r="D11">
            <v>2184615.71</v>
          </cell>
          <cell r="E11">
            <v>13305553.78</v>
          </cell>
          <cell r="F11">
            <v>10053389.56</v>
          </cell>
          <cell r="G11">
            <v>9686377.09</v>
          </cell>
          <cell r="H11">
            <v>6546847.37</v>
          </cell>
          <cell r="I11">
            <v>5885178.42</v>
          </cell>
          <cell r="J11">
            <v>5703703.23</v>
          </cell>
          <cell r="K11">
            <v>237473.06</v>
          </cell>
          <cell r="L11">
            <v>237761.31</v>
          </cell>
          <cell r="M11">
            <v>237473.06</v>
          </cell>
        </row>
        <row r="11">
          <cell r="Q11">
            <v>418170.32</v>
          </cell>
          <cell r="R11">
            <v>418170.32</v>
          </cell>
          <cell r="S11">
            <v>418170.32</v>
          </cell>
          <cell r="T11">
            <v>24641447.5</v>
          </cell>
          <cell r="U11">
            <v>18899529.38</v>
          </cell>
          <cell r="V11">
            <v>18230339.41</v>
          </cell>
        </row>
        <row r="12">
          <cell r="A12" t="str">
            <v>Baligaon</v>
          </cell>
          <cell r="B12">
            <v>2788558.28</v>
          </cell>
          <cell r="C12">
            <v>2486188.39</v>
          </cell>
          <cell r="D12">
            <v>2470212.18</v>
          </cell>
          <cell r="E12">
            <v>15324269.73</v>
          </cell>
          <cell r="F12">
            <v>13959256.79</v>
          </cell>
          <cell r="G12">
            <v>13871747.72</v>
          </cell>
          <cell r="H12">
            <v>1692554.69</v>
          </cell>
          <cell r="I12">
            <v>1567532.4</v>
          </cell>
          <cell r="J12">
            <v>1564939.81</v>
          </cell>
        </row>
        <row r="12">
          <cell r="T12">
            <v>19805382.7</v>
          </cell>
          <cell r="U12">
            <v>18012977.58</v>
          </cell>
          <cell r="V12">
            <v>17906899.71</v>
          </cell>
        </row>
        <row r="13">
          <cell r="A13" t="str">
            <v>Banasree</v>
          </cell>
          <cell r="B13">
            <v>965304.02</v>
          </cell>
          <cell r="C13">
            <v>541897.95</v>
          </cell>
          <cell r="D13">
            <v>428639.34</v>
          </cell>
          <cell r="E13">
            <v>14599720.46</v>
          </cell>
          <cell r="F13">
            <v>7835222.75</v>
          </cell>
          <cell r="G13">
            <v>7381949.95</v>
          </cell>
          <cell r="H13">
            <v>18152000.89</v>
          </cell>
          <cell r="I13">
            <v>14162009.69</v>
          </cell>
          <cell r="J13">
            <v>13666442.82</v>
          </cell>
          <cell r="K13">
            <v>10421116.89</v>
          </cell>
          <cell r="L13">
            <v>5594668.91</v>
          </cell>
          <cell r="M13">
            <v>5189266.72</v>
          </cell>
          <cell r="N13">
            <v>6971632.4</v>
          </cell>
          <cell r="O13">
            <v>5960877.25</v>
          </cell>
          <cell r="P13">
            <v>5958998.89</v>
          </cell>
          <cell r="Q13">
            <v>4094979.03</v>
          </cell>
          <cell r="R13">
            <v>4124813.94</v>
          </cell>
          <cell r="S13">
            <v>4094979.03</v>
          </cell>
          <cell r="T13">
            <v>55204753.69</v>
          </cell>
          <cell r="U13">
            <v>38219490.49</v>
          </cell>
          <cell r="V13">
            <v>36720276.75</v>
          </cell>
        </row>
        <row r="14">
          <cell r="A14" t="str">
            <v>Bancharampur</v>
          </cell>
          <cell r="B14">
            <v>5641670.32</v>
          </cell>
          <cell r="C14">
            <v>4982489.06</v>
          </cell>
          <cell r="D14">
            <v>4936328.28</v>
          </cell>
          <cell r="E14">
            <v>14027723.84</v>
          </cell>
          <cell r="F14">
            <v>11865702.2</v>
          </cell>
          <cell r="G14">
            <v>11797126.34</v>
          </cell>
          <cell r="H14">
            <v>1131703.61</v>
          </cell>
          <cell r="I14">
            <v>1131850.99</v>
          </cell>
          <cell r="J14">
            <v>1131703.61</v>
          </cell>
        </row>
        <row r="14">
          <cell r="T14">
            <v>20801097.77</v>
          </cell>
          <cell r="U14">
            <v>17980042.25</v>
          </cell>
          <cell r="V14">
            <v>17865158.23</v>
          </cell>
        </row>
        <row r="15">
          <cell r="A15" t="str">
            <v>Bandartila </v>
          </cell>
          <cell r="B15">
            <v>1841950</v>
          </cell>
          <cell r="C15">
            <v>911860.9</v>
          </cell>
          <cell r="D15">
            <v>910939.76</v>
          </cell>
          <cell r="E15">
            <v>13418213.37</v>
          </cell>
          <cell r="F15">
            <v>9225886.01000001</v>
          </cell>
          <cell r="G15">
            <v>8879000.42</v>
          </cell>
          <cell r="H15">
            <v>7668577.04</v>
          </cell>
          <cell r="I15">
            <v>3197872.13</v>
          </cell>
          <cell r="J15">
            <v>2841025.83</v>
          </cell>
          <cell r="K15">
            <v>3252343.16</v>
          </cell>
          <cell r="L15">
            <v>779519.27</v>
          </cell>
          <cell r="M15">
            <v>474284.62</v>
          </cell>
          <cell r="N15">
            <v>1317677.52</v>
          </cell>
          <cell r="O15">
            <v>572132.95</v>
          </cell>
          <cell r="P15">
            <v>285674.87</v>
          </cell>
          <cell r="Q15">
            <v>739054.8</v>
          </cell>
          <cell r="R15">
            <v>739054.8</v>
          </cell>
          <cell r="S15">
            <v>739054.8</v>
          </cell>
          <cell r="T15">
            <v>28237815.89</v>
          </cell>
          <cell r="U15">
            <v>15426326.06</v>
          </cell>
          <cell r="V15">
            <v>14129980.3</v>
          </cell>
        </row>
        <row r="16">
          <cell r="A16" t="str">
            <v>Barguna</v>
          </cell>
          <cell r="B16">
            <v>4091487.03</v>
          </cell>
          <cell r="C16">
            <v>2651776.56</v>
          </cell>
          <cell r="D16">
            <v>2646586.76</v>
          </cell>
          <cell r="E16">
            <v>12630918.26</v>
          </cell>
          <cell r="F16">
            <v>8480023.48</v>
          </cell>
          <cell r="G16">
            <v>8174163.73</v>
          </cell>
          <cell r="H16">
            <v>6034994.82</v>
          </cell>
          <cell r="I16">
            <v>5635922.41</v>
          </cell>
          <cell r="J16">
            <v>5376589.64</v>
          </cell>
          <cell r="K16">
            <v>1100012.72</v>
          </cell>
          <cell r="L16">
            <v>1101432.24</v>
          </cell>
          <cell r="M16">
            <v>1100012.72</v>
          </cell>
          <cell r="N16">
            <v>1017590.41</v>
          </cell>
          <cell r="O16">
            <v>564048.57</v>
          </cell>
          <cell r="P16">
            <v>564048.57</v>
          </cell>
        </row>
        <row r="16">
          <cell r="T16">
            <v>24875003.24</v>
          </cell>
          <cell r="U16">
            <v>18433203.26</v>
          </cell>
          <cell r="V16">
            <v>17861401.42</v>
          </cell>
        </row>
        <row r="17">
          <cell r="A17" t="str">
            <v>Barishal</v>
          </cell>
          <cell r="B17">
            <v>3760303.42</v>
          </cell>
          <cell r="C17">
            <v>2243377.31</v>
          </cell>
          <cell r="D17">
            <v>2110264.79</v>
          </cell>
          <cell r="E17">
            <v>15631958.45</v>
          </cell>
          <cell r="F17">
            <v>9010311.2</v>
          </cell>
          <cell r="G17">
            <v>8828205.47</v>
          </cell>
          <cell r="H17">
            <v>15747730.7</v>
          </cell>
          <cell r="I17">
            <v>9320317.63</v>
          </cell>
          <cell r="J17">
            <v>9098507.08</v>
          </cell>
          <cell r="K17">
            <v>4869817.79</v>
          </cell>
          <cell r="L17">
            <v>4392776.52</v>
          </cell>
          <cell r="M17">
            <v>4389173.27</v>
          </cell>
          <cell r="N17">
            <v>2423735.72</v>
          </cell>
          <cell r="O17">
            <v>2270721.33</v>
          </cell>
          <cell r="P17">
            <v>2234038.53</v>
          </cell>
          <cell r="Q17">
            <v>2760890.76</v>
          </cell>
          <cell r="R17">
            <v>2763461.35</v>
          </cell>
          <cell r="S17">
            <v>2760890.76</v>
          </cell>
          <cell r="T17">
            <v>45194436.84</v>
          </cell>
          <cell r="U17">
            <v>30000965.34</v>
          </cell>
          <cell r="V17">
            <v>29421079.9</v>
          </cell>
        </row>
        <row r="18">
          <cell r="A18" t="str">
            <v>Bhanga</v>
          </cell>
          <cell r="B18">
            <v>7732322.37</v>
          </cell>
          <cell r="C18">
            <v>5667100.92</v>
          </cell>
          <cell r="D18">
            <v>5635112.33</v>
          </cell>
          <cell r="E18">
            <v>30788827.4899999</v>
          </cell>
          <cell r="F18">
            <v>23888425.82</v>
          </cell>
          <cell r="G18">
            <v>23569530.11</v>
          </cell>
          <cell r="H18">
            <v>6032811.65</v>
          </cell>
          <cell r="I18">
            <v>5127926.61</v>
          </cell>
          <cell r="J18">
            <v>4804497.9</v>
          </cell>
          <cell r="K18">
            <v>2262559.85</v>
          </cell>
          <cell r="L18">
            <v>2176804.51</v>
          </cell>
          <cell r="M18">
            <v>2175014.97</v>
          </cell>
        </row>
        <row r="18">
          <cell r="Q18">
            <v>1309754.92</v>
          </cell>
          <cell r="R18">
            <v>1313828.81</v>
          </cell>
          <cell r="S18">
            <v>1309754.92</v>
          </cell>
          <cell r="T18">
            <v>48126276.2799999</v>
          </cell>
          <cell r="U18">
            <v>38174086.67</v>
          </cell>
          <cell r="V18">
            <v>37493910.23</v>
          </cell>
        </row>
        <row r="19">
          <cell r="A19" t="str">
            <v>Bharaib</v>
          </cell>
          <cell r="B19">
            <v>2084538.4</v>
          </cell>
          <cell r="C19">
            <v>1583504.69</v>
          </cell>
          <cell r="D19">
            <v>1554191.98</v>
          </cell>
          <cell r="E19">
            <v>20235750.32</v>
          </cell>
          <cell r="F19">
            <v>16703964.27</v>
          </cell>
          <cell r="G19">
            <v>15666674.15</v>
          </cell>
          <cell r="H19">
            <v>6543652.09</v>
          </cell>
          <cell r="I19">
            <v>5964060.35</v>
          </cell>
          <cell r="J19">
            <v>5145965.19</v>
          </cell>
          <cell r="K19">
            <v>338916.63</v>
          </cell>
          <cell r="L19">
            <v>681539.85</v>
          </cell>
          <cell r="M19">
            <v>338916.63</v>
          </cell>
          <cell r="N19">
            <v>1129534.65</v>
          </cell>
          <cell r="O19">
            <v>1131103.33</v>
          </cell>
          <cell r="P19">
            <v>1129534.65</v>
          </cell>
          <cell r="Q19">
            <v>2268487.14</v>
          </cell>
          <cell r="R19">
            <v>2270645.55</v>
          </cell>
          <cell r="S19">
            <v>2268487.14</v>
          </cell>
          <cell r="T19">
            <v>32600879.23</v>
          </cell>
          <cell r="U19">
            <v>28334818.04</v>
          </cell>
          <cell r="V19">
            <v>26103769.74</v>
          </cell>
        </row>
        <row r="20">
          <cell r="A20" t="str">
            <v>Bheramara</v>
          </cell>
          <cell r="B20">
            <v>3954834.64</v>
          </cell>
          <cell r="C20">
            <v>1185792.03</v>
          </cell>
          <cell r="D20">
            <v>1174203.06</v>
          </cell>
          <cell r="E20">
            <v>9310643.15</v>
          </cell>
          <cell r="F20">
            <v>5401991.94</v>
          </cell>
          <cell r="G20">
            <v>5341799.37</v>
          </cell>
          <cell r="H20">
            <v>14450883.7</v>
          </cell>
          <cell r="I20">
            <v>9998623.32</v>
          </cell>
          <cell r="J20">
            <v>9836197.96</v>
          </cell>
          <cell r="K20">
            <v>1456305.4</v>
          </cell>
          <cell r="L20">
            <v>1457127.51</v>
          </cell>
          <cell r="M20">
            <v>1456305.4</v>
          </cell>
          <cell r="N20">
            <v>1541193.62</v>
          </cell>
          <cell r="O20">
            <v>1541194.55</v>
          </cell>
          <cell r="P20">
            <v>1541193.62</v>
          </cell>
        </row>
        <row r="20">
          <cell r="T20">
            <v>30713860.51</v>
          </cell>
          <cell r="U20">
            <v>19584729.35</v>
          </cell>
          <cell r="V20">
            <v>19349699.41</v>
          </cell>
        </row>
        <row r="21">
          <cell r="A21" t="str">
            <v>Bhola</v>
          </cell>
          <cell r="B21">
            <v>2491631.8</v>
          </cell>
          <cell r="C21">
            <v>1172452.22</v>
          </cell>
          <cell r="D21">
            <v>1157418.19</v>
          </cell>
          <cell r="E21">
            <v>11275601.19</v>
          </cell>
          <cell r="F21">
            <v>8794348.93</v>
          </cell>
          <cell r="G21">
            <v>8723181.36</v>
          </cell>
          <cell r="H21">
            <v>6667736.03</v>
          </cell>
          <cell r="I21">
            <v>4310592.75</v>
          </cell>
          <cell r="J21">
            <v>4290326.31</v>
          </cell>
          <cell r="K21">
            <v>2349855.42</v>
          </cell>
          <cell r="L21">
            <v>2351096.76</v>
          </cell>
          <cell r="M21">
            <v>2349855.42</v>
          </cell>
          <cell r="N21">
            <v>250615.53</v>
          </cell>
          <cell r="O21">
            <v>100000</v>
          </cell>
          <cell r="P21">
            <v>100000</v>
          </cell>
          <cell r="Q21">
            <v>1404985.5</v>
          </cell>
          <cell r="R21">
            <v>1030073</v>
          </cell>
          <cell r="S21">
            <v>1029972</v>
          </cell>
          <cell r="T21">
            <v>24440425.47</v>
          </cell>
          <cell r="U21">
            <v>17758563.66</v>
          </cell>
          <cell r="V21">
            <v>17650753.28</v>
          </cell>
        </row>
        <row r="22">
          <cell r="A22" t="str">
            <v>Bhulta</v>
          </cell>
          <cell r="B22">
            <v>1210920.51</v>
          </cell>
          <cell r="C22">
            <v>994940.2</v>
          </cell>
          <cell r="D22">
            <v>992403.63</v>
          </cell>
          <cell r="E22">
            <v>12210753.79</v>
          </cell>
          <cell r="F22">
            <v>10794866.57</v>
          </cell>
          <cell r="G22">
            <v>10308311.3</v>
          </cell>
          <cell r="H22">
            <v>9815067.28</v>
          </cell>
          <cell r="I22">
            <v>8067725.48</v>
          </cell>
          <cell r="J22">
            <v>8057918.3</v>
          </cell>
          <cell r="K22">
            <v>2684059.61</v>
          </cell>
          <cell r="L22">
            <v>2684480.97</v>
          </cell>
          <cell r="M22">
            <v>2683561.23</v>
          </cell>
        </row>
        <row r="22">
          <cell r="Q22">
            <v>1750348.62</v>
          </cell>
          <cell r="R22">
            <v>1752661.79</v>
          </cell>
          <cell r="S22">
            <v>1750348.62</v>
          </cell>
          <cell r="T22">
            <v>27671149.81</v>
          </cell>
          <cell r="U22">
            <v>24294675.01</v>
          </cell>
          <cell r="V22">
            <v>23792543.08</v>
          </cell>
        </row>
        <row r="23">
          <cell r="A23" t="str">
            <v>Bogura</v>
          </cell>
          <cell r="B23">
            <v>4766038.88</v>
          </cell>
          <cell r="C23">
            <v>3660697.21</v>
          </cell>
          <cell r="D23">
            <v>3633605.98</v>
          </cell>
          <cell r="E23">
            <v>14729702.52</v>
          </cell>
          <cell r="F23">
            <v>8939648.07</v>
          </cell>
          <cell r="G23">
            <v>8761063.83</v>
          </cell>
          <cell r="H23">
            <v>12346245.87</v>
          </cell>
          <cell r="I23">
            <v>10320744.99</v>
          </cell>
          <cell r="J23">
            <v>10037459.93</v>
          </cell>
          <cell r="K23">
            <v>5875266.01</v>
          </cell>
          <cell r="L23">
            <v>5036823.12</v>
          </cell>
          <cell r="M23">
            <v>5033596.04</v>
          </cell>
          <cell r="N23">
            <v>4977524.09</v>
          </cell>
          <cell r="O23">
            <v>5008284.07</v>
          </cell>
          <cell r="P23">
            <v>4977524.09</v>
          </cell>
          <cell r="Q23">
            <v>3475309.71</v>
          </cell>
          <cell r="R23">
            <v>3476549.74</v>
          </cell>
          <cell r="S23">
            <v>3475309.71</v>
          </cell>
          <cell r="T23">
            <v>46170087.08</v>
          </cell>
          <cell r="U23">
            <v>36442747.2</v>
          </cell>
          <cell r="V23">
            <v>35918559.58</v>
          </cell>
        </row>
        <row r="24">
          <cell r="A24" t="str">
            <v>Brahmanbaria</v>
          </cell>
          <cell r="B24">
            <v>4360589.55</v>
          </cell>
          <cell r="C24">
            <v>3443495.33</v>
          </cell>
          <cell r="D24">
            <v>3384589.49</v>
          </cell>
          <cell r="E24">
            <v>22724926.82</v>
          </cell>
          <cell r="F24">
            <v>18156440.66</v>
          </cell>
          <cell r="G24">
            <v>17585272.41</v>
          </cell>
          <cell r="H24">
            <v>8272364.55</v>
          </cell>
          <cell r="I24">
            <v>6446720.75</v>
          </cell>
          <cell r="J24">
            <v>6186994.9</v>
          </cell>
          <cell r="K24">
            <v>1492908.88</v>
          </cell>
          <cell r="L24">
            <v>1494234.12</v>
          </cell>
          <cell r="M24">
            <v>1492908.88</v>
          </cell>
          <cell r="N24">
            <v>1667367.43</v>
          </cell>
          <cell r="O24">
            <v>1668192.44</v>
          </cell>
          <cell r="P24">
            <v>1667367.43</v>
          </cell>
        </row>
        <row r="24">
          <cell r="T24">
            <v>38518157.23</v>
          </cell>
          <cell r="U24">
            <v>31209083.3</v>
          </cell>
          <cell r="V24">
            <v>30317133.11</v>
          </cell>
        </row>
        <row r="25">
          <cell r="A25" t="str">
            <v>C. Nawabganj</v>
          </cell>
          <cell r="B25">
            <v>2635416.74</v>
          </cell>
          <cell r="C25">
            <v>2121363.72</v>
          </cell>
          <cell r="D25">
            <v>2120063.79</v>
          </cell>
          <cell r="E25">
            <v>10423355.43</v>
          </cell>
          <cell r="F25">
            <v>9432943.05</v>
          </cell>
          <cell r="G25">
            <v>9098584.48</v>
          </cell>
          <cell r="H25">
            <v>12661691.43</v>
          </cell>
          <cell r="I25">
            <v>10521171.71</v>
          </cell>
          <cell r="J25">
            <v>10512463.29</v>
          </cell>
          <cell r="K25">
            <v>2390195.26</v>
          </cell>
          <cell r="L25">
            <v>2392347.95</v>
          </cell>
          <cell r="M25">
            <v>2390195.26</v>
          </cell>
          <cell r="N25">
            <v>1278317.69</v>
          </cell>
          <cell r="O25">
            <v>1278638.23</v>
          </cell>
          <cell r="P25">
            <v>1278317.69</v>
          </cell>
          <cell r="Q25">
            <v>5094904.42</v>
          </cell>
          <cell r="R25">
            <v>4573105.01</v>
          </cell>
          <cell r="S25">
            <v>4459412.54</v>
          </cell>
          <cell r="T25">
            <v>34483880.97</v>
          </cell>
          <cell r="U25">
            <v>30319569.67</v>
          </cell>
          <cell r="V25">
            <v>29859037.05</v>
          </cell>
        </row>
        <row r="26">
          <cell r="A26" t="str">
            <v>Chandina</v>
          </cell>
          <cell r="B26">
            <v>13484105.58</v>
          </cell>
          <cell r="C26">
            <v>9400821.51</v>
          </cell>
          <cell r="D26">
            <v>9268282.74</v>
          </cell>
          <cell r="E26">
            <v>29998559.27</v>
          </cell>
          <cell r="F26">
            <v>26957233.01</v>
          </cell>
          <cell r="G26">
            <v>26445225.38</v>
          </cell>
          <cell r="H26">
            <v>8586219.69</v>
          </cell>
          <cell r="I26">
            <v>7239838.45</v>
          </cell>
          <cell r="J26">
            <v>7158878.24</v>
          </cell>
          <cell r="K26">
            <v>770931.03</v>
          </cell>
          <cell r="L26">
            <v>771430.38</v>
          </cell>
          <cell r="M26">
            <v>770931.03</v>
          </cell>
          <cell r="N26">
            <v>777117.99</v>
          </cell>
          <cell r="O26">
            <v>628979.79</v>
          </cell>
          <cell r="P26">
            <v>628369.57</v>
          </cell>
        </row>
        <row r="26">
          <cell r="T26">
            <v>53616933.56</v>
          </cell>
          <cell r="U26">
            <v>44998303.14</v>
          </cell>
          <cell r="V26">
            <v>44271686.96</v>
          </cell>
        </row>
        <row r="27">
          <cell r="A27" t="str">
            <v>Chauddagram</v>
          </cell>
          <cell r="B27">
            <v>8126674.3</v>
          </cell>
          <cell r="C27">
            <v>5419092.04</v>
          </cell>
          <cell r="D27">
            <v>5318590.04</v>
          </cell>
          <cell r="E27">
            <v>23910851.71</v>
          </cell>
          <cell r="F27">
            <v>20326567.58</v>
          </cell>
          <cell r="G27">
            <v>20091857.72</v>
          </cell>
          <cell r="H27">
            <v>4783455.04</v>
          </cell>
          <cell r="I27">
            <v>4334494.63</v>
          </cell>
          <cell r="J27">
            <v>4276353.01</v>
          </cell>
          <cell r="K27">
            <v>1097402.67</v>
          </cell>
          <cell r="L27">
            <v>955295.81</v>
          </cell>
          <cell r="M27">
            <v>952956.37</v>
          </cell>
          <cell r="N27">
            <v>4406053.23</v>
          </cell>
        </row>
        <row r="27">
          <cell r="P27">
            <v>0</v>
          </cell>
        </row>
        <row r="27">
          <cell r="T27">
            <v>42324436.95</v>
          </cell>
          <cell r="U27">
            <v>31035450.06</v>
          </cell>
          <cell r="V27">
            <v>30639757.14</v>
          </cell>
        </row>
        <row r="28">
          <cell r="A28" t="str">
            <v>Chawk Bazar</v>
          </cell>
          <cell r="B28">
            <v>1027526.26</v>
          </cell>
          <cell r="C28">
            <v>27536.78</v>
          </cell>
          <cell r="D28">
            <v>27536.78</v>
          </cell>
          <cell r="E28">
            <v>17637105.54</v>
          </cell>
          <cell r="F28">
            <v>7027276.37</v>
          </cell>
          <cell r="G28">
            <v>6914181.71</v>
          </cell>
          <cell r="H28">
            <v>40866922.71</v>
          </cell>
          <cell r="I28">
            <v>22557186.42</v>
          </cell>
          <cell r="J28">
            <v>21945045.96</v>
          </cell>
          <cell r="K28">
            <v>10849627.47</v>
          </cell>
          <cell r="L28">
            <v>8374948.93</v>
          </cell>
          <cell r="M28">
            <v>8366787.69</v>
          </cell>
          <cell r="N28">
            <v>10888880.52</v>
          </cell>
          <cell r="O28">
            <v>4995151.12</v>
          </cell>
          <cell r="P28">
            <v>4699177.24</v>
          </cell>
          <cell r="Q28">
            <v>6345034.34</v>
          </cell>
          <cell r="R28">
            <v>5673021.34</v>
          </cell>
          <cell r="S28">
            <v>5386960.72</v>
          </cell>
          <cell r="T28">
            <v>87615096.84</v>
          </cell>
          <cell r="U28">
            <v>48655120.96</v>
          </cell>
          <cell r="V28">
            <v>47339690.1</v>
          </cell>
        </row>
        <row r="29">
          <cell r="A29" t="str">
            <v>Choumohoni</v>
          </cell>
          <cell r="B29">
            <v>3655709.61</v>
          </cell>
          <cell r="C29">
            <v>2227860.59</v>
          </cell>
          <cell r="D29">
            <v>2078129.4</v>
          </cell>
          <cell r="E29">
            <v>24863776.3</v>
          </cell>
          <cell r="F29">
            <v>16564363.93</v>
          </cell>
          <cell r="G29">
            <v>15808670.06</v>
          </cell>
          <cell r="H29">
            <v>10811552.61</v>
          </cell>
          <cell r="I29">
            <v>7306712.44</v>
          </cell>
          <cell r="J29">
            <v>6497978.61</v>
          </cell>
          <cell r="K29">
            <v>2765468.44</v>
          </cell>
          <cell r="L29">
            <v>2075447.54</v>
          </cell>
          <cell r="M29">
            <v>2074459.15</v>
          </cell>
          <cell r="N29">
            <v>733246.19</v>
          </cell>
          <cell r="O29">
            <v>971934.68</v>
          </cell>
          <cell r="P29">
            <v>733246.19</v>
          </cell>
        </row>
        <row r="29">
          <cell r="T29">
            <v>42829753.15</v>
          </cell>
          <cell r="U29">
            <v>29146319.18</v>
          </cell>
          <cell r="V29">
            <v>27192483.41</v>
          </cell>
        </row>
        <row r="30">
          <cell r="A30" t="str">
            <v>Chuadanga</v>
          </cell>
          <cell r="B30">
            <v>1826470.01</v>
          </cell>
          <cell r="C30">
            <v>1375981.75</v>
          </cell>
          <cell r="D30">
            <v>1331318.27</v>
          </cell>
          <cell r="E30">
            <v>8376380.26</v>
          </cell>
          <cell r="F30">
            <v>7441083.62</v>
          </cell>
          <cell r="G30">
            <v>6976968.84</v>
          </cell>
          <cell r="H30">
            <v>13203792.18</v>
          </cell>
          <cell r="I30">
            <v>9527190.22</v>
          </cell>
          <cell r="J30">
            <v>9401891.49</v>
          </cell>
          <cell r="K30">
            <v>7557299.67</v>
          </cell>
          <cell r="L30">
            <v>7518326.94</v>
          </cell>
          <cell r="M30">
            <v>7502363.19</v>
          </cell>
          <cell r="N30">
            <v>8382980.96</v>
          </cell>
          <cell r="O30">
            <v>7672606.95</v>
          </cell>
          <cell r="P30">
            <v>7643830.36</v>
          </cell>
          <cell r="Q30">
            <v>1579159.59</v>
          </cell>
          <cell r="R30">
            <v>1491809.92</v>
          </cell>
          <cell r="S30">
            <v>1491802.15</v>
          </cell>
          <cell r="T30">
            <v>40926082.67</v>
          </cell>
          <cell r="U30">
            <v>35026999.4</v>
          </cell>
          <cell r="V30">
            <v>34348174.3</v>
          </cell>
        </row>
        <row r="31">
          <cell r="A31" t="str">
            <v>Comilla East</v>
          </cell>
          <cell r="B31">
            <v>5348151.27</v>
          </cell>
          <cell r="C31">
            <v>3821770.82</v>
          </cell>
          <cell r="D31">
            <v>3690243.57</v>
          </cell>
          <cell r="E31">
            <v>24107453.62</v>
          </cell>
          <cell r="F31">
            <v>17603849.71</v>
          </cell>
          <cell r="G31">
            <v>17204491.86</v>
          </cell>
          <cell r="H31">
            <v>8070156.56</v>
          </cell>
          <cell r="I31">
            <v>6291924.46</v>
          </cell>
          <cell r="J31">
            <v>6282722.78</v>
          </cell>
          <cell r="K31">
            <v>1592959.89</v>
          </cell>
          <cell r="L31">
            <v>1934618.07</v>
          </cell>
          <cell r="M31">
            <v>1592959.89</v>
          </cell>
          <cell r="N31">
            <v>1320800.35</v>
          </cell>
          <cell r="O31">
            <v>1321361.46</v>
          </cell>
          <cell r="P31">
            <v>1320800.35</v>
          </cell>
          <cell r="Q31">
            <v>851774.98</v>
          </cell>
          <cell r="R31">
            <v>852679.55</v>
          </cell>
          <cell r="S31">
            <v>851774.98</v>
          </cell>
          <cell r="T31">
            <v>41291296.67</v>
          </cell>
          <cell r="U31">
            <v>31826204.07</v>
          </cell>
          <cell r="V31">
            <v>30942993.43</v>
          </cell>
        </row>
        <row r="32">
          <cell r="A32" t="str">
            <v>Comilla West</v>
          </cell>
          <cell r="B32">
            <v>4365045.43</v>
          </cell>
          <cell r="C32">
            <v>2660992.58</v>
          </cell>
          <cell r="D32">
            <v>2505774.99</v>
          </cell>
          <cell r="E32">
            <v>13742802.39</v>
          </cell>
          <cell r="F32">
            <v>9229669.15</v>
          </cell>
          <cell r="G32">
            <v>8803494.85</v>
          </cell>
          <cell r="H32">
            <v>8613821.82</v>
          </cell>
          <cell r="I32">
            <v>5146943.7</v>
          </cell>
          <cell r="J32">
            <v>5012235.42</v>
          </cell>
          <cell r="K32">
            <v>1348630.12</v>
          </cell>
          <cell r="L32">
            <v>978209.26</v>
          </cell>
          <cell r="M32">
            <v>977767.15</v>
          </cell>
          <cell r="N32">
            <v>1364996.3</v>
          </cell>
          <cell r="O32">
            <v>1088561.26</v>
          </cell>
          <cell r="P32">
            <v>1082750.02</v>
          </cell>
          <cell r="Q32">
            <v>1774717.5</v>
          </cell>
          <cell r="R32">
            <v>756488.87</v>
          </cell>
          <cell r="S32">
            <v>756488.87</v>
          </cell>
          <cell r="T32">
            <v>31210013.56</v>
          </cell>
          <cell r="U32">
            <v>19860864.82</v>
          </cell>
          <cell r="V32">
            <v>19138511.3</v>
          </cell>
        </row>
        <row r="33">
          <cell r="A33" t="str">
            <v>Companygonj</v>
          </cell>
          <cell r="B33">
            <v>7665443.24</v>
          </cell>
          <cell r="C33">
            <v>6889606.01</v>
          </cell>
          <cell r="D33">
            <v>6700716.96</v>
          </cell>
          <cell r="E33">
            <v>29317634.77</v>
          </cell>
          <cell r="F33">
            <v>25323185.63</v>
          </cell>
          <cell r="G33">
            <v>25202046.76</v>
          </cell>
          <cell r="H33">
            <v>2486623.86</v>
          </cell>
          <cell r="I33">
            <v>2527020.53</v>
          </cell>
          <cell r="J33">
            <v>2383024.59</v>
          </cell>
          <cell r="K33">
            <v>268635.47</v>
          </cell>
          <cell r="L33">
            <v>268635.47</v>
          </cell>
          <cell r="M33">
            <v>268635.47</v>
          </cell>
          <cell r="N33">
            <v>247016.77</v>
          </cell>
          <cell r="O33">
            <v>247107.57</v>
          </cell>
          <cell r="P33">
            <v>247016.77</v>
          </cell>
        </row>
        <row r="33">
          <cell r="T33">
            <v>39985354.11</v>
          </cell>
          <cell r="U33">
            <v>35255555.21</v>
          </cell>
          <cell r="V33">
            <v>34801440.55</v>
          </cell>
        </row>
        <row r="34">
          <cell r="A34" t="str">
            <v>Cox's Bazar</v>
          </cell>
          <cell r="B34">
            <v>1003399.6</v>
          </cell>
          <cell r="C34">
            <v>921780.13</v>
          </cell>
          <cell r="D34">
            <v>921190.59</v>
          </cell>
          <cell r="E34">
            <v>3893395.17</v>
          </cell>
          <cell r="F34">
            <v>3139133.43</v>
          </cell>
          <cell r="G34">
            <v>3136107.97</v>
          </cell>
          <cell r="H34">
            <v>4302714.83</v>
          </cell>
          <cell r="I34">
            <v>3424134.65</v>
          </cell>
          <cell r="J34">
            <v>3421929.71</v>
          </cell>
          <cell r="K34">
            <v>918159.78</v>
          </cell>
          <cell r="L34">
            <v>583729.45</v>
          </cell>
          <cell r="M34">
            <v>582365.44</v>
          </cell>
          <cell r="N34">
            <v>313363.65</v>
          </cell>
          <cell r="O34">
            <v>313363.65</v>
          </cell>
          <cell r="P34">
            <v>313363.65</v>
          </cell>
        </row>
        <row r="34">
          <cell r="T34">
            <v>10431033.03</v>
          </cell>
          <cell r="U34">
            <v>8382141.31</v>
          </cell>
          <cell r="V34">
            <v>8374957.36</v>
          </cell>
        </row>
        <row r="35">
          <cell r="A35" t="str">
            <v>Daulatpur</v>
          </cell>
          <cell r="B35">
            <v>742201.97</v>
          </cell>
          <cell r="C35">
            <v>678907.34</v>
          </cell>
          <cell r="D35">
            <v>674465.84</v>
          </cell>
          <cell r="E35">
            <v>9738358.97</v>
          </cell>
          <cell r="F35">
            <v>6007104.35</v>
          </cell>
          <cell r="G35">
            <v>5746215.5</v>
          </cell>
          <cell r="H35">
            <v>10526536.64</v>
          </cell>
          <cell r="I35">
            <v>7953681.9</v>
          </cell>
          <cell r="J35">
            <v>7017223.38</v>
          </cell>
          <cell r="K35">
            <v>4638330.65</v>
          </cell>
          <cell r="L35">
            <v>3890169.21</v>
          </cell>
          <cell r="M35">
            <v>3876334.16</v>
          </cell>
          <cell r="N35">
            <v>2551402.83</v>
          </cell>
          <cell r="O35">
            <v>2595990.1</v>
          </cell>
          <cell r="P35">
            <v>2248191.89</v>
          </cell>
          <cell r="Q35">
            <v>1720153.57</v>
          </cell>
          <cell r="R35">
            <v>1553443.99</v>
          </cell>
          <cell r="S35">
            <v>1553443.99</v>
          </cell>
          <cell r="T35">
            <v>29916984.63</v>
          </cell>
          <cell r="U35">
            <v>22679296.89</v>
          </cell>
          <cell r="V35">
            <v>21115874.76</v>
          </cell>
        </row>
        <row r="36">
          <cell r="A36" t="str">
            <v>DEPZ</v>
          </cell>
          <cell r="B36">
            <v>772371.83</v>
          </cell>
          <cell r="C36">
            <v>486177.51</v>
          </cell>
          <cell r="D36">
            <v>485316.82</v>
          </cell>
          <cell r="E36">
            <v>5771774.64</v>
          </cell>
          <cell r="F36">
            <v>4449130.37</v>
          </cell>
          <cell r="G36">
            <v>4379098.88</v>
          </cell>
          <cell r="H36">
            <v>11293328.78</v>
          </cell>
          <cell r="I36">
            <v>8668988.69</v>
          </cell>
          <cell r="J36">
            <v>8567975.53</v>
          </cell>
          <cell r="K36">
            <v>2899804.4</v>
          </cell>
          <cell r="L36">
            <v>2342380.82</v>
          </cell>
          <cell r="M36">
            <v>2334878</v>
          </cell>
          <cell r="N36">
            <v>1081996.7</v>
          </cell>
          <cell r="O36">
            <v>563085.36</v>
          </cell>
          <cell r="P36">
            <v>429212.17</v>
          </cell>
          <cell r="Q36">
            <v>3718338.92</v>
          </cell>
          <cell r="R36">
            <v>3381567.77</v>
          </cell>
          <cell r="S36">
            <v>3381567.77</v>
          </cell>
          <cell r="T36">
            <v>25537615.27</v>
          </cell>
          <cell r="U36">
            <v>19891330.52</v>
          </cell>
          <cell r="V36">
            <v>19578049.17</v>
          </cell>
        </row>
        <row r="37">
          <cell r="A37" t="str">
            <v>Dhamrai</v>
          </cell>
          <cell r="B37">
            <v>1322462.21</v>
          </cell>
          <cell r="C37">
            <v>1037178.03</v>
          </cell>
          <cell r="D37">
            <v>1013494.41</v>
          </cell>
          <cell r="E37">
            <v>14350935.41</v>
          </cell>
          <cell r="F37">
            <v>8225469.32</v>
          </cell>
          <cell r="G37">
            <v>7417512.89</v>
          </cell>
          <cell r="H37">
            <v>7127574.92</v>
          </cell>
          <cell r="I37">
            <v>4323980.84</v>
          </cell>
          <cell r="J37">
            <v>3898606.25</v>
          </cell>
          <cell r="K37">
            <v>1677771.62</v>
          </cell>
          <cell r="L37">
            <v>942300.23</v>
          </cell>
          <cell r="M37">
            <v>940718.29</v>
          </cell>
          <cell r="N37">
            <v>1139778.18</v>
          </cell>
          <cell r="O37">
            <v>869983.63</v>
          </cell>
          <cell r="P37">
            <v>766237.41</v>
          </cell>
          <cell r="Q37">
            <v>921714</v>
          </cell>
          <cell r="R37">
            <v>921714</v>
          </cell>
          <cell r="S37">
            <v>921714</v>
          </cell>
          <cell r="T37">
            <v>26540236.34</v>
          </cell>
          <cell r="U37">
            <v>16320626.05</v>
          </cell>
          <cell r="V37">
            <v>14958283.25</v>
          </cell>
        </row>
        <row r="38">
          <cell r="A38" t="str">
            <v>Dinajpur</v>
          </cell>
          <cell r="B38">
            <v>2248933.46</v>
          </cell>
          <cell r="C38">
            <v>2053637.31</v>
          </cell>
          <cell r="D38">
            <v>2014810.63</v>
          </cell>
          <cell r="E38">
            <v>8256319.26</v>
          </cell>
          <cell r="F38">
            <v>5403072.16</v>
          </cell>
          <cell r="G38">
            <v>5302567.31</v>
          </cell>
          <cell r="H38">
            <v>9933210.44</v>
          </cell>
          <cell r="I38">
            <v>8434572.5</v>
          </cell>
          <cell r="J38">
            <v>8420158.54</v>
          </cell>
          <cell r="K38">
            <v>6740907.92</v>
          </cell>
          <cell r="L38">
            <v>2914324.01</v>
          </cell>
          <cell r="M38">
            <v>2912285.4</v>
          </cell>
          <cell r="N38">
            <v>5842494.01</v>
          </cell>
          <cell r="O38">
            <v>5798547.49</v>
          </cell>
          <cell r="P38">
            <v>5439540.8</v>
          </cell>
          <cell r="Q38">
            <v>3840676.42</v>
          </cell>
          <cell r="R38">
            <v>2831082.89</v>
          </cell>
          <cell r="S38">
            <v>2831041.36</v>
          </cell>
          <cell r="T38">
            <v>36862541.51</v>
          </cell>
          <cell r="U38">
            <v>27435236.36</v>
          </cell>
          <cell r="V38">
            <v>26920404.04</v>
          </cell>
        </row>
        <row r="39">
          <cell r="A39" t="str">
            <v>Elephant Road</v>
          </cell>
          <cell r="B39">
            <v>874827.01</v>
          </cell>
          <cell r="C39">
            <v>515938.13</v>
          </cell>
          <cell r="D39">
            <v>478567.83</v>
          </cell>
          <cell r="E39">
            <v>13384691.46</v>
          </cell>
          <cell r="F39">
            <v>4838785.86</v>
          </cell>
          <cell r="G39">
            <v>4662007.57</v>
          </cell>
          <cell r="H39">
            <v>32668390.84</v>
          </cell>
          <cell r="I39">
            <v>19696991.41</v>
          </cell>
          <cell r="J39">
            <v>18295994.48</v>
          </cell>
          <cell r="K39">
            <v>7798780.45</v>
          </cell>
          <cell r="L39">
            <v>4855508.04</v>
          </cell>
          <cell r="M39">
            <v>4665508.85</v>
          </cell>
          <cell r="N39">
            <v>7174558.47</v>
          </cell>
          <cell r="O39">
            <v>6448872.63</v>
          </cell>
          <cell r="P39">
            <v>6444007.21</v>
          </cell>
          <cell r="Q39">
            <v>11711823.44</v>
          </cell>
          <cell r="R39">
            <v>7241217.3</v>
          </cell>
          <cell r="S39">
            <v>7035153.22</v>
          </cell>
          <cell r="T39">
            <v>73613071.67</v>
          </cell>
          <cell r="U39">
            <v>43597313.37</v>
          </cell>
          <cell r="V39">
            <v>41581239.16</v>
          </cell>
        </row>
        <row r="40">
          <cell r="A40" t="str">
            <v>Faridpur</v>
          </cell>
          <cell r="B40">
            <v>5849679.13</v>
          </cell>
          <cell r="C40">
            <v>4784062.57</v>
          </cell>
          <cell r="D40">
            <v>4694201.05</v>
          </cell>
          <cell r="E40">
            <v>19527989.65</v>
          </cell>
          <cell r="F40">
            <v>13637811.21</v>
          </cell>
          <cell r="G40">
            <v>13329039.49</v>
          </cell>
          <cell r="H40">
            <v>7671928.17</v>
          </cell>
          <cell r="I40">
            <v>5532901.34</v>
          </cell>
          <cell r="J40">
            <v>5513919</v>
          </cell>
          <cell r="K40">
            <v>884167.07</v>
          </cell>
          <cell r="L40">
            <v>884433.27</v>
          </cell>
          <cell r="M40">
            <v>884167.07</v>
          </cell>
        </row>
        <row r="40">
          <cell r="T40">
            <v>33933764.02</v>
          </cell>
          <cell r="U40">
            <v>24839208.39</v>
          </cell>
          <cell r="V40">
            <v>24421326.61</v>
          </cell>
        </row>
        <row r="41">
          <cell r="A41" t="str">
            <v>Fatullah</v>
          </cell>
          <cell r="B41">
            <v>1067101.55</v>
          </cell>
          <cell r="C41">
            <v>783803.78</v>
          </cell>
          <cell r="D41">
            <v>721101.33</v>
          </cell>
          <cell r="E41">
            <v>13619336.66</v>
          </cell>
          <cell r="F41">
            <v>10319822.98</v>
          </cell>
          <cell r="G41">
            <v>9709398.75</v>
          </cell>
          <cell r="H41">
            <v>6394660.98</v>
          </cell>
          <cell r="I41">
            <v>5671814.28</v>
          </cell>
          <cell r="J41">
            <v>5287557.13</v>
          </cell>
          <cell r="K41">
            <v>2323831.57</v>
          </cell>
          <cell r="L41">
            <v>1958485.61</v>
          </cell>
          <cell r="M41">
            <v>1952369.39</v>
          </cell>
          <cell r="N41">
            <v>987161.78</v>
          </cell>
          <cell r="O41">
            <v>987161.78</v>
          </cell>
          <cell r="P41">
            <v>987161.78</v>
          </cell>
          <cell r="Q41">
            <v>424191.09</v>
          </cell>
          <cell r="R41">
            <v>425603.03</v>
          </cell>
          <cell r="S41">
            <v>424191.09</v>
          </cell>
          <cell r="T41">
            <v>24816283.63</v>
          </cell>
          <cell r="U41">
            <v>20146691.46</v>
          </cell>
          <cell r="V41">
            <v>19081779.47</v>
          </cell>
        </row>
        <row r="42">
          <cell r="A42" t="str">
            <v>Feni</v>
          </cell>
          <cell r="B42">
            <v>2412412.29</v>
          </cell>
          <cell r="C42">
            <v>1853855.39</v>
          </cell>
          <cell r="D42">
            <v>1779247.51</v>
          </cell>
          <cell r="E42">
            <v>27419853.57</v>
          </cell>
          <cell r="F42">
            <v>23546535.58</v>
          </cell>
          <cell r="G42">
            <v>22615909.68</v>
          </cell>
          <cell r="H42">
            <v>11283983.33</v>
          </cell>
          <cell r="I42">
            <v>9496437.94</v>
          </cell>
          <cell r="J42">
            <v>9327979.53</v>
          </cell>
          <cell r="K42">
            <v>4035620.52</v>
          </cell>
          <cell r="L42">
            <v>4037974.86</v>
          </cell>
          <cell r="M42">
            <v>4035620.52</v>
          </cell>
          <cell r="N42">
            <v>2309250.59</v>
          </cell>
          <cell r="O42">
            <v>2312156.5</v>
          </cell>
          <cell r="P42">
            <v>2309250.59</v>
          </cell>
          <cell r="Q42">
            <v>2085906.67</v>
          </cell>
          <cell r="R42">
            <v>2087867.83</v>
          </cell>
          <cell r="S42">
            <v>2085906.67</v>
          </cell>
          <cell r="T42">
            <v>49547026.97</v>
          </cell>
          <cell r="U42">
            <v>43334828.1</v>
          </cell>
          <cell r="V42">
            <v>42153914.5</v>
          </cell>
        </row>
        <row r="43">
          <cell r="A43" t="str">
            <v>Fulbari</v>
          </cell>
          <cell r="B43">
            <v>1830902.21</v>
          </cell>
          <cell r="C43">
            <v>1474904.08</v>
          </cell>
          <cell r="D43">
            <v>1473845.68</v>
          </cell>
          <cell r="E43">
            <v>5352363.87</v>
          </cell>
          <cell r="F43">
            <v>4542888.57</v>
          </cell>
          <cell r="G43">
            <v>4530632.31</v>
          </cell>
          <cell r="H43">
            <v>5532431.38</v>
          </cell>
          <cell r="I43">
            <v>5234818.24</v>
          </cell>
          <cell r="J43">
            <v>5181435.65</v>
          </cell>
          <cell r="K43">
            <v>3124488.49</v>
          </cell>
          <cell r="L43">
            <v>2047222.37</v>
          </cell>
          <cell r="M43">
            <v>2046878.75</v>
          </cell>
          <cell r="N43">
            <v>1267063.98</v>
          </cell>
          <cell r="O43">
            <v>1267063.98</v>
          </cell>
          <cell r="P43">
            <v>1267063.98</v>
          </cell>
        </row>
        <row r="43">
          <cell r="T43">
            <v>17107249.93</v>
          </cell>
          <cell r="U43">
            <v>14566897.24</v>
          </cell>
          <cell r="V43">
            <v>14499856.37</v>
          </cell>
        </row>
        <row r="44">
          <cell r="A44" t="str">
            <v>Gaibandha</v>
          </cell>
          <cell r="B44">
            <v>2503064.45</v>
          </cell>
          <cell r="C44">
            <v>1777441.62</v>
          </cell>
          <cell r="D44">
            <v>1752380.68</v>
          </cell>
          <cell r="E44">
            <v>9423510.78</v>
          </cell>
          <cell r="F44">
            <v>7345207.21</v>
          </cell>
          <cell r="G44">
            <v>7333688.64</v>
          </cell>
          <cell r="H44">
            <v>8526566.43</v>
          </cell>
          <cell r="I44">
            <v>7604574.68</v>
          </cell>
          <cell r="J44">
            <v>7597823.3</v>
          </cell>
          <cell r="K44">
            <v>1595391.73</v>
          </cell>
          <cell r="L44">
            <v>1596995.26</v>
          </cell>
          <cell r="M44">
            <v>1595391.73</v>
          </cell>
          <cell r="N44">
            <v>3596622</v>
          </cell>
          <cell r="O44">
            <v>3648099.15</v>
          </cell>
          <cell r="P44">
            <v>3171282.5</v>
          </cell>
          <cell r="Q44">
            <v>464550.1</v>
          </cell>
          <cell r="R44">
            <v>465150.1</v>
          </cell>
          <cell r="S44">
            <v>464550.1</v>
          </cell>
          <cell r="T44">
            <v>26109705.49</v>
          </cell>
          <cell r="U44">
            <v>22437468.02</v>
          </cell>
          <cell r="V44">
            <v>21915116.95</v>
          </cell>
        </row>
        <row r="45">
          <cell r="A45" t="str">
            <v>Gazipur</v>
          </cell>
          <cell r="B45">
            <v>394678.54</v>
          </cell>
          <cell r="C45">
            <v>212088.37</v>
          </cell>
          <cell r="D45">
            <v>211846.78</v>
          </cell>
          <cell r="E45">
            <v>9827002.45</v>
          </cell>
          <cell r="F45">
            <v>5336362.58</v>
          </cell>
          <cell r="G45">
            <v>5220196.18</v>
          </cell>
          <cell r="H45">
            <v>14262723.68</v>
          </cell>
          <cell r="I45">
            <v>11015386.75</v>
          </cell>
          <cell r="J45">
            <v>10471458.8</v>
          </cell>
          <cell r="K45">
            <v>4021597.96</v>
          </cell>
          <cell r="L45">
            <v>3636918.95</v>
          </cell>
          <cell r="M45">
            <v>3618228.04</v>
          </cell>
          <cell r="N45">
            <v>1427963.38</v>
          </cell>
          <cell r="O45">
            <v>1588435.39</v>
          </cell>
          <cell r="P45">
            <v>1427963.38</v>
          </cell>
          <cell r="Q45">
            <v>3025608.34</v>
          </cell>
          <cell r="R45">
            <v>3065941.3</v>
          </cell>
          <cell r="S45">
            <v>2644143.42</v>
          </cell>
          <cell r="T45">
            <v>32959574.35</v>
          </cell>
          <cell r="U45">
            <v>24855133.34</v>
          </cell>
          <cell r="V45">
            <v>23593836.6</v>
          </cell>
        </row>
        <row r="46">
          <cell r="A46" t="str">
            <v>Ghatail</v>
          </cell>
          <cell r="B46">
            <v>2147288.19</v>
          </cell>
          <cell r="C46">
            <v>981184.01</v>
          </cell>
          <cell r="D46">
            <v>975966.62</v>
          </cell>
          <cell r="E46">
            <v>9149605.97</v>
          </cell>
          <cell r="F46">
            <v>7731787.18</v>
          </cell>
          <cell r="G46">
            <v>7570516.32</v>
          </cell>
          <cell r="H46">
            <v>5539692.01</v>
          </cell>
          <cell r="I46">
            <v>5041901.23</v>
          </cell>
          <cell r="J46">
            <v>5019978.95</v>
          </cell>
          <cell r="K46">
            <v>1320307.2</v>
          </cell>
          <cell r="L46">
            <v>2295335.94</v>
          </cell>
          <cell r="M46">
            <v>1320307.2</v>
          </cell>
          <cell r="N46">
            <v>2671487.9</v>
          </cell>
          <cell r="O46">
            <v>3275948.63</v>
          </cell>
          <cell r="P46">
            <v>2671487.9</v>
          </cell>
          <cell r="Q46">
            <v>2419375.95</v>
          </cell>
          <cell r="R46">
            <v>2420514.8</v>
          </cell>
          <cell r="S46">
            <v>2419375.95</v>
          </cell>
          <cell r="T46">
            <v>23247757.22</v>
          </cell>
          <cell r="U46">
            <v>21746671.79</v>
          </cell>
          <cell r="V46">
            <v>19977632.94</v>
          </cell>
        </row>
        <row r="47">
          <cell r="A47" t="str">
            <v>Gopalgonj</v>
          </cell>
          <cell r="B47">
            <v>3635790.34</v>
          </cell>
          <cell r="C47">
            <v>1377967.62</v>
          </cell>
          <cell r="D47">
            <v>1279148.12</v>
          </cell>
          <cell r="E47">
            <v>15105642.42</v>
          </cell>
          <cell r="F47">
            <v>10227309.67</v>
          </cell>
          <cell r="G47">
            <v>10121262.47</v>
          </cell>
          <cell r="H47">
            <v>12484574.25</v>
          </cell>
          <cell r="I47">
            <v>6927343.52</v>
          </cell>
          <cell r="J47">
            <v>6902158.21</v>
          </cell>
          <cell r="K47">
            <v>2301580.71</v>
          </cell>
          <cell r="L47">
            <v>2018728.64</v>
          </cell>
          <cell r="M47">
            <v>2013503.41</v>
          </cell>
          <cell r="N47">
            <v>2709689.18</v>
          </cell>
          <cell r="O47">
            <v>2712098.18</v>
          </cell>
          <cell r="P47">
            <v>2709689.18</v>
          </cell>
          <cell r="Q47">
            <v>36571952.36</v>
          </cell>
          <cell r="R47">
            <v>315286.59</v>
          </cell>
          <cell r="S47">
            <v>315286.59</v>
          </cell>
          <cell r="T47">
            <v>72809229.26</v>
          </cell>
          <cell r="U47">
            <v>23578734.22</v>
          </cell>
          <cell r="V47">
            <v>23341047.98</v>
          </cell>
        </row>
        <row r="48">
          <cell r="A48" t="str">
            <v>Gulistan</v>
          </cell>
          <cell r="B48">
            <v>186519.52</v>
          </cell>
          <cell r="C48">
            <v>144852.86</v>
          </cell>
          <cell r="D48">
            <v>144852.86</v>
          </cell>
          <cell r="E48">
            <v>7646300.52</v>
          </cell>
          <cell r="F48">
            <v>3866697.14</v>
          </cell>
          <cell r="G48">
            <v>3768954.78</v>
          </cell>
          <cell r="H48">
            <v>33445401.78</v>
          </cell>
          <cell r="I48">
            <v>17780621.47</v>
          </cell>
          <cell r="J48">
            <v>17644343.95</v>
          </cell>
          <cell r="K48">
            <v>6381071.76</v>
          </cell>
          <cell r="L48">
            <v>2877631.78</v>
          </cell>
          <cell r="M48">
            <v>2876797.22</v>
          </cell>
          <cell r="N48">
            <v>8455452.44</v>
          </cell>
          <cell r="O48">
            <v>7237746.14</v>
          </cell>
          <cell r="P48">
            <v>6872502.48</v>
          </cell>
          <cell r="Q48">
            <v>5428492.24</v>
          </cell>
          <cell r="R48">
            <v>4254448.37</v>
          </cell>
          <cell r="S48">
            <v>4252395.7</v>
          </cell>
          <cell r="T48">
            <v>61543238.26</v>
          </cell>
          <cell r="U48">
            <v>36161997.76</v>
          </cell>
          <cell r="V48">
            <v>35559846.99</v>
          </cell>
        </row>
        <row r="49">
          <cell r="A49" t="str">
            <v>Halishahar</v>
          </cell>
          <cell r="B49">
            <v>729236.33</v>
          </cell>
          <cell r="C49">
            <v>556561.57</v>
          </cell>
          <cell r="D49">
            <v>555380.24</v>
          </cell>
          <cell r="E49">
            <v>7464025.71</v>
          </cell>
          <cell r="F49">
            <v>6022285.27</v>
          </cell>
          <cell r="G49">
            <v>5934799.92</v>
          </cell>
          <cell r="H49">
            <v>12791267.39</v>
          </cell>
          <cell r="I49">
            <v>10381951.17</v>
          </cell>
          <cell r="J49">
            <v>10106117.92</v>
          </cell>
          <cell r="K49">
            <v>3319610.76</v>
          </cell>
          <cell r="L49">
            <v>3253893.99</v>
          </cell>
          <cell r="M49">
            <v>3036354.72</v>
          </cell>
          <cell r="N49">
            <v>4323141.27</v>
          </cell>
          <cell r="O49">
            <v>3301247.19</v>
          </cell>
          <cell r="P49">
            <v>3296946.33</v>
          </cell>
          <cell r="Q49">
            <v>945480.55</v>
          </cell>
          <cell r="R49">
            <v>945693.27</v>
          </cell>
          <cell r="S49">
            <v>945480.55</v>
          </cell>
          <cell r="T49">
            <v>29572762.01</v>
          </cell>
          <cell r="U49">
            <v>24461632.46</v>
          </cell>
          <cell r="V49">
            <v>23875079.68</v>
          </cell>
        </row>
        <row r="50">
          <cell r="A50" t="str">
            <v>Hasnabad</v>
          </cell>
          <cell r="B50">
            <v>2542011.18</v>
          </cell>
          <cell r="C50">
            <v>1288476.06</v>
          </cell>
          <cell r="D50">
            <v>1161555.88</v>
          </cell>
          <cell r="E50">
            <v>15761562.38</v>
          </cell>
          <cell r="F50">
            <v>10438344.2</v>
          </cell>
          <cell r="G50">
            <v>10011959.21</v>
          </cell>
          <cell r="H50">
            <v>8951813.01</v>
          </cell>
          <cell r="I50">
            <v>5796498.61</v>
          </cell>
          <cell r="J50">
            <v>5402094.78</v>
          </cell>
          <cell r="K50">
            <v>2386537.31</v>
          </cell>
          <cell r="L50">
            <v>2566027.61</v>
          </cell>
          <cell r="M50">
            <v>1993984.66</v>
          </cell>
          <cell r="N50">
            <v>4920218.63</v>
          </cell>
          <cell r="O50">
            <v>2878791.97</v>
          </cell>
          <cell r="P50">
            <v>2407280.88</v>
          </cell>
          <cell r="Q50">
            <v>3327620.06</v>
          </cell>
          <cell r="R50">
            <v>2751828.46</v>
          </cell>
          <cell r="S50">
            <v>2367922.95</v>
          </cell>
          <cell r="T50">
            <v>37889762.57</v>
          </cell>
          <cell r="U50">
            <v>25719966.91</v>
          </cell>
          <cell r="V50">
            <v>23344798.36</v>
          </cell>
        </row>
        <row r="51">
          <cell r="A51" t="str">
            <v>Hathazari</v>
          </cell>
          <cell r="B51">
            <v>2039478.08</v>
          </cell>
          <cell r="C51">
            <v>983879.69</v>
          </cell>
          <cell r="D51">
            <v>983186.68</v>
          </cell>
          <cell r="E51">
            <v>14659413.9</v>
          </cell>
          <cell r="F51">
            <v>10539842.35</v>
          </cell>
          <cell r="G51">
            <v>10221984.04</v>
          </cell>
          <cell r="H51">
            <v>20068003.38</v>
          </cell>
          <cell r="I51">
            <v>11107520.07</v>
          </cell>
          <cell r="J51">
            <v>10908788.5</v>
          </cell>
          <cell r="K51">
            <v>6024076.93</v>
          </cell>
          <cell r="L51">
            <v>4888906.7</v>
          </cell>
          <cell r="M51">
            <v>4611392.16</v>
          </cell>
          <cell r="N51">
            <v>2147831.5</v>
          </cell>
          <cell r="O51">
            <v>2150020.26</v>
          </cell>
          <cell r="P51">
            <v>2147831.5</v>
          </cell>
          <cell r="Q51">
            <v>874372.9</v>
          </cell>
          <cell r="R51">
            <v>874838.38</v>
          </cell>
          <cell r="S51">
            <v>874372.9</v>
          </cell>
          <cell r="T51">
            <v>45813176.69</v>
          </cell>
          <cell r="U51">
            <v>30545007.45</v>
          </cell>
          <cell r="V51">
            <v>29747555.78</v>
          </cell>
        </row>
        <row r="52">
          <cell r="A52" t="str">
            <v>Hazigonj</v>
          </cell>
          <cell r="B52">
            <v>2905211.1</v>
          </cell>
          <cell r="C52">
            <v>1951989.92</v>
          </cell>
          <cell r="D52">
            <v>1948598.37</v>
          </cell>
          <cell r="E52">
            <v>17556975.68</v>
          </cell>
          <cell r="F52">
            <v>12952669.76</v>
          </cell>
          <cell r="G52">
            <v>12619430.93</v>
          </cell>
          <cell r="H52">
            <v>11910849.23</v>
          </cell>
          <cell r="I52">
            <v>8074395.82</v>
          </cell>
          <cell r="J52">
            <v>8058984.91</v>
          </cell>
          <cell r="K52">
            <v>5813337.79</v>
          </cell>
          <cell r="L52">
            <v>3145169.66</v>
          </cell>
          <cell r="M52">
            <v>2935663.11</v>
          </cell>
          <cell r="N52">
            <v>1036588.52</v>
          </cell>
          <cell r="O52">
            <v>1036799.13</v>
          </cell>
          <cell r="P52">
            <v>1036588.52</v>
          </cell>
          <cell r="Q52">
            <v>978804.01</v>
          </cell>
          <cell r="R52">
            <v>980414.8</v>
          </cell>
          <cell r="S52">
            <v>978804.01</v>
          </cell>
          <cell r="T52">
            <v>40201766.33</v>
          </cell>
          <cell r="U52">
            <v>28141439.09</v>
          </cell>
          <cell r="V52">
            <v>27578069.85</v>
          </cell>
        </row>
        <row r="53">
          <cell r="A53" t="str">
            <v>Hobigonj</v>
          </cell>
          <cell r="B53">
            <v>10041338.23</v>
          </cell>
          <cell r="C53">
            <v>8562038.95</v>
          </cell>
          <cell r="D53">
            <v>8406168.67000001</v>
          </cell>
          <cell r="E53">
            <v>21393415.33</v>
          </cell>
          <cell r="F53">
            <v>18178178.01</v>
          </cell>
          <cell r="G53">
            <v>17833656.87</v>
          </cell>
          <cell r="H53">
            <v>2355361.81</v>
          </cell>
          <cell r="I53">
            <v>1853956.95</v>
          </cell>
          <cell r="J53">
            <v>1851816.63</v>
          </cell>
          <cell r="K53">
            <v>239244</v>
          </cell>
          <cell r="L53">
            <v>239244</v>
          </cell>
          <cell r="M53">
            <v>239244</v>
          </cell>
          <cell r="N53">
            <v>1415859.69</v>
          </cell>
          <cell r="O53">
            <v>145000</v>
          </cell>
          <cell r="P53">
            <v>145000</v>
          </cell>
        </row>
        <row r="53">
          <cell r="T53">
            <v>35445219.06</v>
          </cell>
          <cell r="U53">
            <v>28978417.91</v>
          </cell>
          <cell r="V53">
            <v>28475886.17</v>
          </cell>
        </row>
        <row r="54">
          <cell r="A54" t="str">
            <v>Imamgonj</v>
          </cell>
          <cell r="B54">
            <v>729323.6</v>
          </cell>
          <cell r="C54">
            <v>439069.31</v>
          </cell>
          <cell r="D54">
            <v>415946.08</v>
          </cell>
          <cell r="E54">
            <v>6999849.45</v>
          </cell>
          <cell r="F54">
            <v>5504757.44</v>
          </cell>
          <cell r="G54">
            <v>5371162.89</v>
          </cell>
          <cell r="H54">
            <v>15537709.77</v>
          </cell>
          <cell r="I54">
            <v>14288177.49</v>
          </cell>
          <cell r="J54">
            <v>14236748.1</v>
          </cell>
          <cell r="K54">
            <v>6677204.26</v>
          </cell>
          <cell r="L54">
            <v>6546427.76</v>
          </cell>
          <cell r="M54">
            <v>6531528.15</v>
          </cell>
          <cell r="N54">
            <v>8941179.41</v>
          </cell>
          <cell r="O54">
            <v>8948722.25</v>
          </cell>
          <cell r="P54">
            <v>8745857.7</v>
          </cell>
          <cell r="Q54">
            <v>8556441.81</v>
          </cell>
          <cell r="R54">
            <v>7723096.59</v>
          </cell>
          <cell r="S54">
            <v>7704046.81</v>
          </cell>
          <cell r="T54">
            <v>47441708.3</v>
          </cell>
          <cell r="U54">
            <v>43450250.84</v>
          </cell>
          <cell r="V54">
            <v>43005289.73</v>
          </cell>
        </row>
        <row r="55">
          <cell r="A55" t="str">
            <v>Ishwardi</v>
          </cell>
          <cell r="B55">
            <v>1406911.5</v>
          </cell>
          <cell r="C55">
            <v>632188.99</v>
          </cell>
          <cell r="D55">
            <v>631623.39</v>
          </cell>
          <cell r="E55">
            <v>11932341.43</v>
          </cell>
          <cell r="F55">
            <v>7703494.66</v>
          </cell>
          <cell r="G55">
            <v>7512171.34000001</v>
          </cell>
          <cell r="H55">
            <v>17655879.59</v>
          </cell>
          <cell r="I55">
            <v>12960917.21</v>
          </cell>
          <cell r="J55">
            <v>12658969.25</v>
          </cell>
          <cell r="K55">
            <v>4598677.74</v>
          </cell>
          <cell r="L55">
            <v>3563300.53</v>
          </cell>
          <cell r="M55">
            <v>3560356.79</v>
          </cell>
          <cell r="N55">
            <v>8312409.61</v>
          </cell>
          <cell r="O55">
            <v>7836197.49</v>
          </cell>
          <cell r="P55">
            <v>7833060.92</v>
          </cell>
          <cell r="Q55">
            <v>7876794.03</v>
          </cell>
          <cell r="R55">
            <v>3799332.96</v>
          </cell>
          <cell r="S55">
            <v>3623653.79</v>
          </cell>
          <cell r="T55">
            <v>51783013.9</v>
          </cell>
          <cell r="U55">
            <v>36495431.84</v>
          </cell>
          <cell r="V55">
            <v>35819835.48</v>
          </cell>
        </row>
        <row r="56">
          <cell r="A56" t="str">
            <v>Islambagh</v>
          </cell>
          <cell r="B56">
            <v>689073.78</v>
          </cell>
          <cell r="C56">
            <v>443859.67</v>
          </cell>
          <cell r="D56">
            <v>443538.94</v>
          </cell>
          <cell r="E56">
            <v>7266751.22</v>
          </cell>
          <cell r="F56">
            <v>4774273.3</v>
          </cell>
          <cell r="G56">
            <v>4768915.99</v>
          </cell>
          <cell r="H56">
            <v>10840913.46</v>
          </cell>
          <cell r="I56">
            <v>9673240.49</v>
          </cell>
          <cell r="J56">
            <v>9659212.75</v>
          </cell>
          <cell r="K56">
            <v>5083210.26</v>
          </cell>
          <cell r="L56">
            <v>4776625.66</v>
          </cell>
          <cell r="M56">
            <v>4772117.42</v>
          </cell>
          <cell r="N56">
            <v>6241442.5</v>
          </cell>
          <cell r="O56">
            <v>5750960.54</v>
          </cell>
          <cell r="P56">
            <v>5749861.76</v>
          </cell>
          <cell r="Q56">
            <v>4802059.03</v>
          </cell>
          <cell r="R56">
            <v>4803079.51</v>
          </cell>
          <cell r="S56">
            <v>4802059.03</v>
          </cell>
          <cell r="T56">
            <v>34923450.25</v>
          </cell>
          <cell r="U56">
            <v>30222039.17</v>
          </cell>
          <cell r="V56">
            <v>30195705.89</v>
          </cell>
        </row>
        <row r="57">
          <cell r="A57" t="str">
            <v>Islampur Road</v>
          </cell>
          <cell r="B57">
            <v>806225.51</v>
          </cell>
          <cell r="C57">
            <v>276244.16</v>
          </cell>
          <cell r="D57">
            <v>274914.9</v>
          </cell>
          <cell r="E57">
            <v>32171365.83</v>
          </cell>
          <cell r="F57">
            <v>18480328.56</v>
          </cell>
          <cell r="G57">
            <v>17099090.68</v>
          </cell>
          <cell r="H57">
            <v>34301728.25</v>
          </cell>
          <cell r="I57">
            <v>28967696.7</v>
          </cell>
          <cell r="J57">
            <v>24873506.23</v>
          </cell>
          <cell r="K57">
            <v>10568806.81</v>
          </cell>
          <cell r="L57">
            <v>7028969.74</v>
          </cell>
          <cell r="M57">
            <v>7023975.59</v>
          </cell>
          <cell r="N57">
            <v>7363612.45</v>
          </cell>
          <cell r="O57">
            <v>5773794.68</v>
          </cell>
          <cell r="P57">
            <v>5760969.22</v>
          </cell>
          <cell r="Q57">
            <v>6260287.89</v>
          </cell>
          <cell r="R57">
            <v>5062769.34</v>
          </cell>
          <cell r="S57">
            <v>5060658.21</v>
          </cell>
          <cell r="T57">
            <v>91472026.74</v>
          </cell>
          <cell r="U57">
            <v>65589803.18</v>
          </cell>
          <cell r="V57">
            <v>60093114.83</v>
          </cell>
        </row>
        <row r="58">
          <cell r="A58" t="str">
            <v>Jamalpur</v>
          </cell>
          <cell r="B58">
            <v>198315.63</v>
          </cell>
          <cell r="C58">
            <v>198631.66</v>
          </cell>
          <cell r="D58">
            <v>198315.63</v>
          </cell>
          <cell r="E58">
            <v>2569606.72</v>
          </cell>
          <cell r="F58">
            <v>2425379.42</v>
          </cell>
          <cell r="G58">
            <v>2423903.49</v>
          </cell>
          <cell r="H58">
            <v>2190944.06</v>
          </cell>
          <cell r="I58">
            <v>2021754.33</v>
          </cell>
          <cell r="J58">
            <v>2019154.8</v>
          </cell>
        </row>
        <row r="58">
          <cell r="T58">
            <v>4958866.41</v>
          </cell>
          <cell r="U58">
            <v>4645765.41</v>
          </cell>
          <cell r="V58">
            <v>4641373.92</v>
          </cell>
        </row>
        <row r="59">
          <cell r="A59" t="str">
            <v>Jatrabari</v>
          </cell>
          <cell r="B59">
            <v>1882457.73</v>
          </cell>
          <cell r="C59">
            <v>312784.84</v>
          </cell>
          <cell r="D59">
            <v>269988.28</v>
          </cell>
          <cell r="E59">
            <v>14464780.4</v>
          </cell>
          <cell r="F59">
            <v>10121987.85</v>
          </cell>
          <cell r="G59">
            <v>9971439.55</v>
          </cell>
          <cell r="H59">
            <v>21168072.07</v>
          </cell>
          <cell r="I59">
            <v>15464028.28</v>
          </cell>
          <cell r="J59">
            <v>14781750.31</v>
          </cell>
          <cell r="K59">
            <v>7831839.43</v>
          </cell>
          <cell r="L59">
            <v>5046513.82</v>
          </cell>
          <cell r="M59">
            <v>4926728.15</v>
          </cell>
          <cell r="N59">
            <v>4499206.62</v>
          </cell>
          <cell r="O59">
            <v>3223768.64</v>
          </cell>
          <cell r="P59">
            <v>3218986.95</v>
          </cell>
          <cell r="Q59">
            <v>4256247.84</v>
          </cell>
          <cell r="R59">
            <v>3569438.69</v>
          </cell>
          <cell r="S59">
            <v>3568048.84</v>
          </cell>
          <cell r="T59">
            <v>54102604.09</v>
          </cell>
          <cell r="U59">
            <v>37738522.12</v>
          </cell>
          <cell r="V59">
            <v>36736942.08</v>
          </cell>
        </row>
        <row r="60">
          <cell r="A60" t="str">
            <v>Jessore</v>
          </cell>
          <cell r="B60">
            <v>2114407.63</v>
          </cell>
          <cell r="C60">
            <v>1276647.3</v>
          </cell>
          <cell r="D60">
            <v>1211858.32</v>
          </cell>
          <cell r="E60">
            <v>17372292.14</v>
          </cell>
          <cell r="F60">
            <v>11981630.53</v>
          </cell>
          <cell r="G60">
            <v>11407629.85</v>
          </cell>
          <cell r="H60">
            <v>29393319.11</v>
          </cell>
          <cell r="I60">
            <v>20335307.16</v>
          </cell>
          <cell r="J60">
            <v>20151326.79</v>
          </cell>
          <cell r="K60">
            <v>7008651.2</v>
          </cell>
          <cell r="L60">
            <v>5176785.77</v>
          </cell>
          <cell r="M60">
            <v>5173342.19</v>
          </cell>
          <cell r="N60">
            <v>7280191.23</v>
          </cell>
          <cell r="O60">
            <v>6209622.63</v>
          </cell>
          <cell r="P60">
            <v>6187945.15</v>
          </cell>
          <cell r="Q60">
            <v>1093732.52</v>
          </cell>
          <cell r="R60">
            <v>1093933.65</v>
          </cell>
          <cell r="S60">
            <v>1093732.52</v>
          </cell>
          <cell r="T60">
            <v>64262593.83</v>
          </cell>
          <cell r="U60">
            <v>46073927.04</v>
          </cell>
          <cell r="V60">
            <v>45225834.82</v>
          </cell>
        </row>
        <row r="61">
          <cell r="A61" t="str">
            <v>Jhenaidah</v>
          </cell>
          <cell r="B61">
            <v>2726318.84</v>
          </cell>
          <cell r="C61">
            <v>1697074.01</v>
          </cell>
          <cell r="D61">
            <v>1624770.28</v>
          </cell>
          <cell r="E61">
            <v>9096342.8</v>
          </cell>
          <cell r="F61">
            <v>6886389.5</v>
          </cell>
          <cell r="G61">
            <v>6667258.83</v>
          </cell>
          <cell r="H61">
            <v>15703381.84</v>
          </cell>
          <cell r="I61">
            <v>13250303.33</v>
          </cell>
          <cell r="J61">
            <v>13111804.67</v>
          </cell>
          <cell r="K61">
            <v>2717340.82</v>
          </cell>
          <cell r="L61">
            <v>2532948.27</v>
          </cell>
          <cell r="M61">
            <v>2453269.96</v>
          </cell>
          <cell r="N61">
            <v>1116946.74</v>
          </cell>
          <cell r="O61">
            <v>1117367.87</v>
          </cell>
          <cell r="P61">
            <v>1116946.74</v>
          </cell>
          <cell r="Q61">
            <v>1405817.29</v>
          </cell>
          <cell r="R61">
            <v>1407531.48</v>
          </cell>
          <cell r="S61">
            <v>1405817.29</v>
          </cell>
          <cell r="T61">
            <v>32766148.33</v>
          </cell>
          <cell r="U61">
            <v>26891614.46</v>
          </cell>
          <cell r="V61">
            <v>26379867.77</v>
          </cell>
        </row>
        <row r="62">
          <cell r="A62" t="str">
            <v>Jikorgacha</v>
          </cell>
          <cell r="B62">
            <v>2835273.15</v>
          </cell>
          <cell r="C62">
            <v>2098468.17</v>
          </cell>
          <cell r="D62">
            <v>2088416.65</v>
          </cell>
          <cell r="E62">
            <v>13016299.68</v>
          </cell>
          <cell r="F62">
            <v>8912866.41</v>
          </cell>
          <cell r="G62">
            <v>8595288.88</v>
          </cell>
          <cell r="H62">
            <v>16596060.72</v>
          </cell>
          <cell r="I62">
            <v>13762269.61</v>
          </cell>
          <cell r="J62">
            <v>12981578.03</v>
          </cell>
          <cell r="K62">
            <v>2052446.56</v>
          </cell>
          <cell r="L62">
            <v>1506991.11</v>
          </cell>
          <cell r="M62">
            <v>1496648.29</v>
          </cell>
          <cell r="N62">
            <v>3585228.12</v>
          </cell>
          <cell r="O62">
            <v>3586319.69</v>
          </cell>
          <cell r="P62">
            <v>3585228.12</v>
          </cell>
          <cell r="Q62">
            <v>438021.38</v>
          </cell>
          <cell r="R62">
            <v>438374.22</v>
          </cell>
          <cell r="S62">
            <v>438021.38</v>
          </cell>
          <cell r="T62">
            <v>38523329.61</v>
          </cell>
          <cell r="U62">
            <v>30305289.21</v>
          </cell>
          <cell r="V62">
            <v>29185181.35</v>
          </cell>
        </row>
        <row r="63">
          <cell r="A63" t="str">
            <v>Joydebpur</v>
          </cell>
          <cell r="B63">
            <v>633819.02</v>
          </cell>
          <cell r="C63">
            <v>247817.82</v>
          </cell>
          <cell r="D63">
            <v>247781</v>
          </cell>
          <cell r="E63">
            <v>9630604.33</v>
          </cell>
          <cell r="F63">
            <v>7167206.5</v>
          </cell>
          <cell r="G63">
            <v>6561574.32</v>
          </cell>
          <cell r="H63">
            <v>18727372.37</v>
          </cell>
          <cell r="I63">
            <v>13106608.99</v>
          </cell>
          <cell r="J63">
            <v>13084529.17</v>
          </cell>
          <cell r="K63">
            <v>3899332.49</v>
          </cell>
          <cell r="L63">
            <v>3472323.35</v>
          </cell>
          <cell r="M63">
            <v>3282218.97</v>
          </cell>
          <cell r="N63">
            <v>1431436.03</v>
          </cell>
          <cell r="O63">
            <v>1433063.66</v>
          </cell>
          <cell r="P63">
            <v>1431436.03</v>
          </cell>
          <cell r="Q63">
            <v>2914785.58</v>
          </cell>
          <cell r="R63">
            <v>2345707.49</v>
          </cell>
          <cell r="S63">
            <v>2344326.47</v>
          </cell>
          <cell r="T63">
            <v>37237349.82</v>
          </cell>
          <cell r="U63">
            <v>27772727.81</v>
          </cell>
          <cell r="V63">
            <v>26951865.96</v>
          </cell>
        </row>
        <row r="64">
          <cell r="A64" t="str">
            <v>Joypurhat</v>
          </cell>
          <cell r="B64">
            <v>678577.42</v>
          </cell>
          <cell r="C64">
            <v>486537.78</v>
          </cell>
          <cell r="D64">
            <v>486358.43</v>
          </cell>
          <cell r="E64">
            <v>5013497.23</v>
          </cell>
          <cell r="F64">
            <v>1916263.9</v>
          </cell>
          <cell r="G64">
            <v>1914723.89</v>
          </cell>
          <cell r="H64">
            <v>9412065.99</v>
          </cell>
          <cell r="I64">
            <v>5414265.14</v>
          </cell>
          <cell r="J64">
            <v>5410514.4</v>
          </cell>
          <cell r="K64">
            <v>1098885.55</v>
          </cell>
          <cell r="L64">
            <v>913692.89</v>
          </cell>
          <cell r="M64">
            <v>913619.1</v>
          </cell>
          <cell r="N64">
            <v>4731490.33</v>
          </cell>
          <cell r="O64">
            <v>5608781.65</v>
          </cell>
          <cell r="P64">
            <v>4731490.33</v>
          </cell>
          <cell r="Q64">
            <v>12155018.65</v>
          </cell>
          <cell r="R64">
            <v>2675782.03</v>
          </cell>
          <cell r="S64">
            <v>2674809.15</v>
          </cell>
          <cell r="T64">
            <v>33089535.17</v>
          </cell>
          <cell r="U64">
            <v>17015323.39</v>
          </cell>
          <cell r="V64">
            <v>16131515.3</v>
          </cell>
        </row>
        <row r="65">
          <cell r="A65" t="str">
            <v>Kadamtali</v>
          </cell>
          <cell r="B65">
            <v>984508.54</v>
          </cell>
          <cell r="C65">
            <v>99193.07</v>
          </cell>
          <cell r="D65">
            <v>99180.5</v>
          </cell>
          <cell r="E65">
            <v>19096070.76</v>
          </cell>
          <cell r="F65">
            <v>7469603.73</v>
          </cell>
          <cell r="G65">
            <v>6860730.15</v>
          </cell>
          <cell r="H65">
            <v>19142430.21</v>
          </cell>
          <cell r="I65">
            <v>10037683.05</v>
          </cell>
          <cell r="J65">
            <v>9798950.87</v>
          </cell>
          <cell r="K65">
            <v>2365654.28</v>
          </cell>
          <cell r="L65">
            <v>1942300.66</v>
          </cell>
          <cell r="M65">
            <v>1934262.08</v>
          </cell>
          <cell r="N65">
            <v>2926473.43</v>
          </cell>
          <cell r="O65">
            <v>2560870.78</v>
          </cell>
          <cell r="P65">
            <v>2556875.6</v>
          </cell>
        </row>
        <row r="65">
          <cell r="T65">
            <v>44515137.22</v>
          </cell>
          <cell r="U65">
            <v>22109651.29</v>
          </cell>
          <cell r="V65">
            <v>21249999.2</v>
          </cell>
        </row>
        <row r="66">
          <cell r="A66" t="str">
            <v>Kaliakair</v>
          </cell>
        </row>
        <row r="66">
          <cell r="E66">
            <v>98644.45</v>
          </cell>
        </row>
        <row r="66">
          <cell r="G66">
            <v>0</v>
          </cell>
        </row>
        <row r="66">
          <cell r="N66">
            <v>380334.58</v>
          </cell>
        </row>
        <row r="66">
          <cell r="P66">
            <v>0</v>
          </cell>
        </row>
        <row r="66">
          <cell r="T66">
            <v>478979.03</v>
          </cell>
        </row>
        <row r="66">
          <cell r="V66">
            <v>0</v>
          </cell>
        </row>
        <row r="67">
          <cell r="A67" t="str">
            <v>Kalurghat</v>
          </cell>
          <cell r="B67">
            <v>372946.62</v>
          </cell>
          <cell r="C67">
            <v>89315.3</v>
          </cell>
          <cell r="D67">
            <v>89315.3</v>
          </cell>
          <cell r="E67">
            <v>7541123.98</v>
          </cell>
          <cell r="F67">
            <v>4246039.97</v>
          </cell>
          <cell r="G67">
            <v>4188673.8</v>
          </cell>
          <cell r="H67">
            <v>15819615.93</v>
          </cell>
          <cell r="I67">
            <v>9958712.69</v>
          </cell>
          <cell r="J67">
            <v>9677265.65</v>
          </cell>
          <cell r="K67">
            <v>3393853.9</v>
          </cell>
          <cell r="L67">
            <v>2916981.44</v>
          </cell>
          <cell r="M67">
            <v>2725814.48</v>
          </cell>
          <cell r="N67">
            <v>1462062.13</v>
          </cell>
          <cell r="O67">
            <v>1940873.09</v>
          </cell>
          <cell r="P67">
            <v>1462062.13</v>
          </cell>
          <cell r="Q67">
            <v>2397626.29</v>
          </cell>
          <cell r="R67">
            <v>2404222.24</v>
          </cell>
          <cell r="S67">
            <v>2397626.29</v>
          </cell>
          <cell r="T67">
            <v>30987228.85</v>
          </cell>
          <cell r="U67">
            <v>21556144.73</v>
          </cell>
          <cell r="V67">
            <v>20540757.65</v>
          </cell>
        </row>
        <row r="68">
          <cell r="A68" t="str">
            <v>Kamrangirchar</v>
          </cell>
          <cell r="B68">
            <v>2293350.36</v>
          </cell>
          <cell r="C68">
            <v>1202210.6</v>
          </cell>
          <cell r="D68">
            <v>1121714.77</v>
          </cell>
          <cell r="E68">
            <v>8795100.58</v>
          </cell>
          <cell r="F68">
            <v>6161552.37</v>
          </cell>
          <cell r="G68">
            <v>6155555.55</v>
          </cell>
          <cell r="H68">
            <v>21820025.46</v>
          </cell>
          <cell r="I68">
            <v>15518412.05</v>
          </cell>
          <cell r="J68">
            <v>15458311.65</v>
          </cell>
          <cell r="K68">
            <v>4781165.27</v>
          </cell>
          <cell r="L68">
            <v>3605386.54</v>
          </cell>
          <cell r="M68">
            <v>3604611.08</v>
          </cell>
          <cell r="N68">
            <v>3225531.38</v>
          </cell>
          <cell r="O68">
            <v>2878982.41</v>
          </cell>
          <cell r="P68">
            <v>2878368.06</v>
          </cell>
          <cell r="Q68">
            <v>475094.02</v>
          </cell>
          <cell r="R68">
            <v>476475.27</v>
          </cell>
          <cell r="S68">
            <v>475094.02</v>
          </cell>
          <cell r="T68">
            <v>41390267.07</v>
          </cell>
          <cell r="U68">
            <v>29843019.24</v>
          </cell>
          <cell r="V68">
            <v>29693655.13</v>
          </cell>
        </row>
        <row r="69">
          <cell r="A69" t="str">
            <v>Kazipara</v>
          </cell>
          <cell r="B69">
            <v>1909047.58</v>
          </cell>
          <cell r="C69">
            <v>408042.36</v>
          </cell>
          <cell r="D69">
            <v>345876.96</v>
          </cell>
          <cell r="E69">
            <v>5963358.94</v>
          </cell>
          <cell r="F69">
            <v>3956053.29</v>
          </cell>
          <cell r="G69">
            <v>3767930.93</v>
          </cell>
          <cell r="H69">
            <v>7481415.78</v>
          </cell>
          <cell r="I69">
            <v>5530781.92</v>
          </cell>
          <cell r="J69">
            <v>5526124.25</v>
          </cell>
          <cell r="K69">
            <v>2827652.52</v>
          </cell>
          <cell r="L69">
            <v>1477023.94</v>
          </cell>
          <cell r="M69">
            <v>1477023.94</v>
          </cell>
          <cell r="N69">
            <v>2580380.17</v>
          </cell>
          <cell r="O69">
            <v>2623191.24</v>
          </cell>
          <cell r="P69">
            <v>2289823.69</v>
          </cell>
          <cell r="Q69">
            <v>3496787.89</v>
          </cell>
          <cell r="R69">
            <v>3417336.94</v>
          </cell>
          <cell r="S69">
            <v>2991378.61</v>
          </cell>
          <cell r="T69">
            <v>24258642.88</v>
          </cell>
          <cell r="U69">
            <v>17412429.69</v>
          </cell>
          <cell r="V69">
            <v>16398158.38</v>
          </cell>
        </row>
        <row r="70">
          <cell r="A70" t="str">
            <v>Keranigonj</v>
          </cell>
          <cell r="B70">
            <v>2196212.1</v>
          </cell>
          <cell r="C70">
            <v>1275320.37</v>
          </cell>
          <cell r="D70">
            <v>1273195.73</v>
          </cell>
          <cell r="E70">
            <v>25915934.11</v>
          </cell>
          <cell r="F70">
            <v>14714556.99</v>
          </cell>
          <cell r="G70">
            <v>14520384.58</v>
          </cell>
          <cell r="H70">
            <v>24675822.7</v>
          </cell>
          <cell r="I70">
            <v>11632003.83</v>
          </cell>
          <cell r="J70">
            <v>11187673.7</v>
          </cell>
          <cell r="K70">
            <v>4141944.36</v>
          </cell>
          <cell r="L70">
            <v>4014161.27</v>
          </cell>
          <cell r="M70">
            <v>3829860.62</v>
          </cell>
          <cell r="N70">
            <v>2926567.59</v>
          </cell>
          <cell r="O70">
            <v>2928911.08</v>
          </cell>
          <cell r="P70">
            <v>2926567.59</v>
          </cell>
          <cell r="Q70">
            <v>1588067</v>
          </cell>
          <cell r="R70">
            <v>1595039</v>
          </cell>
          <cell r="S70">
            <v>1588067</v>
          </cell>
          <cell r="T70">
            <v>61444547.86</v>
          </cell>
          <cell r="U70">
            <v>36159992.54</v>
          </cell>
          <cell r="V70">
            <v>35325749.22</v>
          </cell>
        </row>
        <row r="71">
          <cell r="A71" t="str">
            <v>Keshobpur</v>
          </cell>
          <cell r="B71">
            <v>3346967.79</v>
          </cell>
          <cell r="C71">
            <v>2331266.01</v>
          </cell>
          <cell r="D71">
            <v>2328395.63</v>
          </cell>
          <cell r="E71">
            <v>15369757.66</v>
          </cell>
          <cell r="F71">
            <v>11404777.86</v>
          </cell>
          <cell r="G71">
            <v>10909088.57</v>
          </cell>
          <cell r="H71">
            <v>21202080.37</v>
          </cell>
          <cell r="I71">
            <v>15212501.41</v>
          </cell>
          <cell r="J71">
            <v>14767578.96</v>
          </cell>
          <cell r="K71">
            <v>5841023.42</v>
          </cell>
          <cell r="L71">
            <v>6284473.88</v>
          </cell>
          <cell r="M71">
            <v>5841023.42</v>
          </cell>
          <cell r="N71">
            <v>3176330.77</v>
          </cell>
          <cell r="O71">
            <v>3190445.75</v>
          </cell>
          <cell r="P71">
            <v>3176330.77</v>
          </cell>
          <cell r="Q71">
            <v>1419229.42</v>
          </cell>
          <cell r="R71">
            <v>1420023.73</v>
          </cell>
          <cell r="S71">
            <v>1419229.42</v>
          </cell>
          <cell r="T71">
            <v>50355389.43</v>
          </cell>
          <cell r="U71">
            <v>39843488.64</v>
          </cell>
          <cell r="V71">
            <v>38441646.77</v>
          </cell>
        </row>
        <row r="72">
          <cell r="A72" t="str">
            <v>Khatungonj</v>
          </cell>
          <cell r="B72">
            <v>154908.96</v>
          </cell>
          <cell r="C72">
            <v>21000</v>
          </cell>
          <cell r="D72">
            <v>21000</v>
          </cell>
          <cell r="E72">
            <v>7708599.25</v>
          </cell>
          <cell r="F72">
            <v>3455064.93</v>
          </cell>
          <cell r="G72">
            <v>3319676.59</v>
          </cell>
          <cell r="H72">
            <v>15594590.32</v>
          </cell>
          <cell r="I72">
            <v>11068858.27</v>
          </cell>
          <cell r="J72">
            <v>11015006.48</v>
          </cell>
          <cell r="K72">
            <v>8189650.76</v>
          </cell>
          <cell r="L72">
            <v>5662197.18</v>
          </cell>
          <cell r="M72">
            <v>5533949.59</v>
          </cell>
          <cell r="N72">
            <v>6645783.63</v>
          </cell>
          <cell r="O72">
            <v>6176181.14</v>
          </cell>
          <cell r="P72">
            <v>6172710.55</v>
          </cell>
          <cell r="Q72">
            <v>5471229.41</v>
          </cell>
          <cell r="R72">
            <v>4536934.71</v>
          </cell>
          <cell r="S72">
            <v>4532894.89</v>
          </cell>
          <cell r="T72">
            <v>43764762.33</v>
          </cell>
          <cell r="U72">
            <v>30920236.23</v>
          </cell>
          <cell r="V72">
            <v>30595238.1</v>
          </cell>
        </row>
        <row r="73">
          <cell r="A73" t="str">
            <v>Khulna</v>
          </cell>
          <cell r="B73">
            <v>3203609.58</v>
          </cell>
          <cell r="C73">
            <v>1128719.2</v>
          </cell>
          <cell r="D73">
            <v>1111954.36</v>
          </cell>
          <cell r="E73">
            <v>10995835.73</v>
          </cell>
          <cell r="F73">
            <v>7932573.14</v>
          </cell>
          <cell r="G73">
            <v>7924306.9</v>
          </cell>
          <cell r="H73">
            <v>22102753.87</v>
          </cell>
          <cell r="I73">
            <v>16818095.92</v>
          </cell>
          <cell r="J73">
            <v>16280406.35</v>
          </cell>
          <cell r="K73">
            <v>11221768.77</v>
          </cell>
          <cell r="L73">
            <v>10138689.42</v>
          </cell>
          <cell r="M73">
            <v>9975700.81</v>
          </cell>
          <cell r="N73">
            <v>10567085.19</v>
          </cell>
          <cell r="O73">
            <v>7932492.12</v>
          </cell>
          <cell r="P73">
            <v>7927652.96</v>
          </cell>
          <cell r="Q73">
            <v>5272197.68</v>
          </cell>
          <cell r="R73">
            <v>2945576.84</v>
          </cell>
          <cell r="S73">
            <v>2945576.84</v>
          </cell>
          <cell r="T73">
            <v>63363250.82</v>
          </cell>
          <cell r="U73">
            <v>46896146.64</v>
          </cell>
          <cell r="V73">
            <v>46165598.22</v>
          </cell>
        </row>
        <row r="74">
          <cell r="A74" t="str">
            <v>Konabari</v>
          </cell>
          <cell r="B74">
            <v>1293228.28</v>
          </cell>
          <cell r="C74">
            <v>238812.25</v>
          </cell>
          <cell r="D74">
            <v>238525.04</v>
          </cell>
          <cell r="E74">
            <v>11515007.22</v>
          </cell>
          <cell r="F74">
            <v>8708316.78</v>
          </cell>
          <cell r="G74">
            <v>8554012.84</v>
          </cell>
          <cell r="H74">
            <v>17127631.88</v>
          </cell>
          <cell r="I74">
            <v>15687421.35</v>
          </cell>
          <cell r="J74">
            <v>15502170.84</v>
          </cell>
          <cell r="K74">
            <v>3523400.83</v>
          </cell>
          <cell r="L74">
            <v>3702646.9</v>
          </cell>
          <cell r="M74">
            <v>3523400.83</v>
          </cell>
          <cell r="N74">
            <v>1386966.13</v>
          </cell>
          <cell r="O74">
            <v>727365.55</v>
          </cell>
          <cell r="P74">
            <v>720208.31</v>
          </cell>
          <cell r="Q74">
            <v>5294109.08</v>
          </cell>
          <cell r="R74">
            <v>2965269.45</v>
          </cell>
          <cell r="S74">
            <v>2958853.54</v>
          </cell>
          <cell r="T74">
            <v>40140343.42</v>
          </cell>
          <cell r="U74">
            <v>32029832.28</v>
          </cell>
          <cell r="V74">
            <v>31497171.4</v>
          </cell>
        </row>
        <row r="75">
          <cell r="A75" t="str">
            <v>Kosba</v>
          </cell>
          <cell r="B75">
            <v>5243222.77</v>
          </cell>
          <cell r="C75">
            <v>4233781.41</v>
          </cell>
          <cell r="D75">
            <v>4229882.78</v>
          </cell>
          <cell r="E75">
            <v>33672186.17</v>
          </cell>
          <cell r="F75">
            <v>29496077.83</v>
          </cell>
          <cell r="G75">
            <v>29148062.07</v>
          </cell>
          <cell r="H75">
            <v>3180203.01</v>
          </cell>
          <cell r="I75">
            <v>2375438.53</v>
          </cell>
          <cell r="J75">
            <v>2336678.5</v>
          </cell>
          <cell r="K75">
            <v>205065.78</v>
          </cell>
          <cell r="L75">
            <v>205345.5</v>
          </cell>
          <cell r="M75">
            <v>205065.78</v>
          </cell>
        </row>
        <row r="75">
          <cell r="T75">
            <v>42300677.73</v>
          </cell>
          <cell r="U75">
            <v>36310643.27</v>
          </cell>
          <cell r="V75">
            <v>35919689.13</v>
          </cell>
        </row>
        <row r="76">
          <cell r="A76" t="str">
            <v>Kotiadi</v>
          </cell>
          <cell r="B76">
            <v>6849879.76000001</v>
          </cell>
          <cell r="C76">
            <v>6004954.29</v>
          </cell>
          <cell r="D76">
            <v>5921214.54</v>
          </cell>
          <cell r="E76">
            <v>22526406.02</v>
          </cell>
          <cell r="F76">
            <v>18896915.95</v>
          </cell>
          <cell r="G76">
            <v>18353946.35</v>
          </cell>
          <cell r="H76">
            <v>2468487.4</v>
          </cell>
          <cell r="I76">
            <v>1998563.89</v>
          </cell>
          <cell r="J76">
            <v>1996523.75</v>
          </cell>
        </row>
        <row r="76">
          <cell r="T76">
            <v>31844773.18</v>
          </cell>
          <cell r="U76">
            <v>26900434.13</v>
          </cell>
          <cell r="V76">
            <v>26271684.64</v>
          </cell>
        </row>
        <row r="77">
          <cell r="A77" t="str">
            <v>Kulaura </v>
          </cell>
          <cell r="B77">
            <v>5401142.09</v>
          </cell>
          <cell r="C77">
            <v>4665992.24</v>
          </cell>
          <cell r="D77">
            <v>4662853.97</v>
          </cell>
          <cell r="E77">
            <v>11757993.88</v>
          </cell>
          <cell r="F77">
            <v>10985917.47</v>
          </cell>
          <cell r="G77">
            <v>10977793.73</v>
          </cell>
        </row>
        <row r="77">
          <cell r="T77">
            <v>17159135.97</v>
          </cell>
          <cell r="U77">
            <v>15651909.71</v>
          </cell>
          <cell r="V77">
            <v>15640647.7</v>
          </cell>
        </row>
        <row r="78">
          <cell r="A78" t="str">
            <v>Kurigram</v>
          </cell>
          <cell r="B78">
            <v>8515959.17</v>
          </cell>
          <cell r="C78">
            <v>5975079.48</v>
          </cell>
          <cell r="D78">
            <v>5555960.17</v>
          </cell>
          <cell r="E78">
            <v>11402579.68</v>
          </cell>
          <cell r="F78">
            <v>8554050.65</v>
          </cell>
          <cell r="G78">
            <v>8324746.44</v>
          </cell>
          <cell r="H78">
            <v>7641696.43</v>
          </cell>
          <cell r="I78">
            <v>7579139.74</v>
          </cell>
          <cell r="J78">
            <v>7311881.34</v>
          </cell>
          <cell r="K78">
            <v>2422845.35</v>
          </cell>
          <cell r="L78">
            <v>2426334.18</v>
          </cell>
          <cell r="M78">
            <v>2422845.35</v>
          </cell>
          <cell r="N78">
            <v>2382794.72</v>
          </cell>
          <cell r="O78">
            <v>1717332.64</v>
          </cell>
          <cell r="P78">
            <v>1702976.16</v>
          </cell>
          <cell r="Q78">
            <v>505409.28</v>
          </cell>
        </row>
        <row r="78">
          <cell r="S78">
            <v>0</v>
          </cell>
          <cell r="T78">
            <v>32871284.63</v>
          </cell>
          <cell r="U78">
            <v>26251936.69</v>
          </cell>
          <cell r="V78">
            <v>25318409.46</v>
          </cell>
        </row>
        <row r="79">
          <cell r="A79" t="str">
            <v>Kushtia</v>
          </cell>
          <cell r="B79">
            <v>3862400.35</v>
          </cell>
          <cell r="C79">
            <v>685428.21</v>
          </cell>
          <cell r="D79">
            <v>684637.21</v>
          </cell>
          <cell r="E79">
            <v>9376415.36</v>
          </cell>
          <cell r="F79">
            <v>4681442.66</v>
          </cell>
          <cell r="G79">
            <v>4451955.63</v>
          </cell>
          <cell r="H79">
            <v>17882455.53</v>
          </cell>
          <cell r="I79">
            <v>12531009.89</v>
          </cell>
          <cell r="J79">
            <v>12215585.89</v>
          </cell>
          <cell r="K79">
            <v>2635580.54</v>
          </cell>
          <cell r="L79">
            <v>2371765.81</v>
          </cell>
          <cell r="M79">
            <v>2371509.68</v>
          </cell>
          <cell r="N79">
            <v>2311692.63</v>
          </cell>
          <cell r="O79">
            <v>1622838.83</v>
          </cell>
          <cell r="P79">
            <v>1621710.02</v>
          </cell>
          <cell r="Q79">
            <v>2179015.02</v>
          </cell>
          <cell r="R79">
            <v>2179245.81</v>
          </cell>
          <cell r="S79">
            <v>2179015.02</v>
          </cell>
          <cell r="T79">
            <v>38247559.43</v>
          </cell>
          <cell r="U79">
            <v>24071731.21</v>
          </cell>
          <cell r="V79">
            <v>23524413.45</v>
          </cell>
        </row>
        <row r="80">
          <cell r="A80" t="str">
            <v>Laksham</v>
          </cell>
          <cell r="B80">
            <v>6187901.95</v>
          </cell>
          <cell r="C80">
            <v>4587883.42</v>
          </cell>
          <cell r="D80">
            <v>4333507.15</v>
          </cell>
          <cell r="E80">
            <v>17288630.69</v>
          </cell>
          <cell r="F80">
            <v>11601963.62</v>
          </cell>
          <cell r="G80">
            <v>11142554.19</v>
          </cell>
          <cell r="H80">
            <v>6757752.41</v>
          </cell>
          <cell r="I80">
            <v>4126375.88</v>
          </cell>
          <cell r="J80">
            <v>3901294.27</v>
          </cell>
          <cell r="K80">
            <v>895409.16</v>
          </cell>
          <cell r="L80">
            <v>896418.09</v>
          </cell>
          <cell r="M80">
            <v>895409.16</v>
          </cell>
        </row>
        <row r="80">
          <cell r="T80">
            <v>31129694.21</v>
          </cell>
          <cell r="U80">
            <v>21212641.01</v>
          </cell>
          <cell r="V80">
            <v>20272764.77</v>
          </cell>
        </row>
        <row r="81">
          <cell r="A81" t="str">
            <v>Laxmipur</v>
          </cell>
          <cell r="B81">
            <v>3291899.97</v>
          </cell>
          <cell r="C81">
            <v>2320736.46</v>
          </cell>
          <cell r="D81">
            <v>2195881.78</v>
          </cell>
          <cell r="E81">
            <v>13919239.27</v>
          </cell>
          <cell r="F81">
            <v>10236470.59</v>
          </cell>
          <cell r="G81">
            <v>9993574.15</v>
          </cell>
          <cell r="H81">
            <v>4842405.81</v>
          </cell>
          <cell r="I81">
            <v>4477130</v>
          </cell>
          <cell r="J81">
            <v>4116099.56</v>
          </cell>
          <cell r="K81">
            <v>1322332.84</v>
          </cell>
          <cell r="L81">
            <v>1113156.55</v>
          </cell>
          <cell r="M81">
            <v>1112354.7</v>
          </cell>
          <cell r="N81">
            <v>270515.95</v>
          </cell>
          <cell r="O81">
            <v>270515.95</v>
          </cell>
          <cell r="P81">
            <v>270515.95</v>
          </cell>
          <cell r="Q81">
            <v>501804.38</v>
          </cell>
          <cell r="R81">
            <v>501804.38</v>
          </cell>
          <cell r="S81">
            <v>501804.38</v>
          </cell>
          <cell r="T81">
            <v>24148198.22</v>
          </cell>
          <cell r="U81">
            <v>18919813.93</v>
          </cell>
          <cell r="V81">
            <v>18190230.52</v>
          </cell>
        </row>
        <row r="82">
          <cell r="A82" t="str">
            <v>Lohagora, CTG</v>
          </cell>
          <cell r="B82">
            <v>3319370.96</v>
          </cell>
          <cell r="C82">
            <v>2040009.85</v>
          </cell>
          <cell r="D82">
            <v>1931976.48</v>
          </cell>
          <cell r="E82">
            <v>14447154.53</v>
          </cell>
          <cell r="F82">
            <v>10582477.7</v>
          </cell>
          <cell r="G82">
            <v>10237252.49</v>
          </cell>
          <cell r="H82">
            <v>9380519.3</v>
          </cell>
          <cell r="I82">
            <v>8585057.54</v>
          </cell>
          <cell r="J82">
            <v>8266867.44</v>
          </cell>
          <cell r="K82">
            <v>1355633.47</v>
          </cell>
          <cell r="L82">
            <v>1275295.78</v>
          </cell>
          <cell r="M82">
            <v>1275133.6</v>
          </cell>
          <cell r="N82">
            <v>491397.11</v>
          </cell>
          <cell r="O82">
            <v>269272.89</v>
          </cell>
          <cell r="P82">
            <v>269272.89</v>
          </cell>
          <cell r="Q82">
            <v>618043.69</v>
          </cell>
          <cell r="R82">
            <v>619253.69</v>
          </cell>
          <cell r="S82">
            <v>618043.69</v>
          </cell>
          <cell r="T82">
            <v>29612119.06</v>
          </cell>
          <cell r="U82">
            <v>23371367.45</v>
          </cell>
          <cell r="V82">
            <v>22598546.59</v>
          </cell>
        </row>
        <row r="83">
          <cell r="A83" t="str">
            <v>Madhabpur</v>
          </cell>
          <cell r="B83">
            <v>8592113.44999999</v>
          </cell>
          <cell r="C83">
            <v>6791117.35</v>
          </cell>
          <cell r="D83">
            <v>6745838.42</v>
          </cell>
          <cell r="E83">
            <v>26312898.95</v>
          </cell>
          <cell r="F83">
            <v>23805716.09</v>
          </cell>
          <cell r="G83">
            <v>23514029.99</v>
          </cell>
          <cell r="H83">
            <v>4938149.15</v>
          </cell>
          <cell r="I83">
            <v>4468399.55</v>
          </cell>
          <cell r="J83">
            <v>4343370.86</v>
          </cell>
          <cell r="K83">
            <v>1391809.83</v>
          </cell>
          <cell r="L83">
            <v>1207366.78</v>
          </cell>
          <cell r="M83">
            <v>1206547.25</v>
          </cell>
        </row>
        <row r="83">
          <cell r="T83">
            <v>41234971.38</v>
          </cell>
          <cell r="U83">
            <v>36272599.77</v>
          </cell>
          <cell r="V83">
            <v>35809786.52</v>
          </cell>
        </row>
        <row r="84">
          <cell r="A84" t="str">
            <v>Magura</v>
          </cell>
          <cell r="B84">
            <v>4089348.59</v>
          </cell>
          <cell r="C84">
            <v>2617769.95</v>
          </cell>
          <cell r="D84">
            <v>2447867.17</v>
          </cell>
          <cell r="E84">
            <v>7384398.48</v>
          </cell>
          <cell r="F84">
            <v>5783680.95</v>
          </cell>
          <cell r="G84">
            <v>5776883.5</v>
          </cell>
          <cell r="H84">
            <v>8324682.56</v>
          </cell>
          <cell r="I84">
            <v>7705103.29</v>
          </cell>
          <cell r="J84">
            <v>6203824.82</v>
          </cell>
          <cell r="K84">
            <v>286662.09</v>
          </cell>
          <cell r="L84">
            <v>286662.09</v>
          </cell>
          <cell r="M84">
            <v>286662.09</v>
          </cell>
        </row>
        <row r="84">
          <cell r="T84">
            <v>20085091.72</v>
          </cell>
          <cell r="U84">
            <v>16393216.28</v>
          </cell>
          <cell r="V84">
            <v>14715237.58</v>
          </cell>
        </row>
        <row r="85">
          <cell r="A85" t="str">
            <v>Maijdee</v>
          </cell>
          <cell r="B85">
            <v>7160234.78</v>
          </cell>
          <cell r="C85">
            <v>4821080.6</v>
          </cell>
          <cell r="D85">
            <v>4796226.08</v>
          </cell>
          <cell r="E85">
            <v>21704181.47</v>
          </cell>
          <cell r="F85">
            <v>15702403.02</v>
          </cell>
          <cell r="G85">
            <v>14994373.9</v>
          </cell>
          <cell r="H85">
            <v>8507869.82</v>
          </cell>
          <cell r="I85">
            <v>6548209.03</v>
          </cell>
          <cell r="J85">
            <v>6417664.52</v>
          </cell>
          <cell r="K85">
            <v>271363.75</v>
          </cell>
          <cell r="L85">
            <v>271506.51</v>
          </cell>
          <cell r="M85">
            <v>271363.75</v>
          </cell>
        </row>
        <row r="85">
          <cell r="Q85">
            <v>0</v>
          </cell>
          <cell r="R85">
            <v>2365365.41</v>
          </cell>
          <cell r="S85">
            <v>0</v>
          </cell>
          <cell r="T85">
            <v>37643649.82</v>
          </cell>
          <cell r="U85">
            <v>29708564.57</v>
          </cell>
          <cell r="V85">
            <v>26479628.25</v>
          </cell>
        </row>
        <row r="86">
          <cell r="A86" t="str">
            <v>Manikgonj</v>
          </cell>
          <cell r="B86">
            <v>1640859.19</v>
          </cell>
          <cell r="C86">
            <v>1421211.26</v>
          </cell>
          <cell r="D86">
            <v>1419069.02</v>
          </cell>
          <cell r="E86">
            <v>4611667.22</v>
          </cell>
          <cell r="F86">
            <v>3604830.17</v>
          </cell>
          <cell r="G86">
            <v>3591204.03</v>
          </cell>
          <cell r="H86">
            <v>1066463.42</v>
          </cell>
          <cell r="I86">
            <v>1241232.99</v>
          </cell>
          <cell r="J86">
            <v>1052812.14</v>
          </cell>
          <cell r="K86">
            <v>1064262.43</v>
          </cell>
          <cell r="L86">
            <v>848200</v>
          </cell>
          <cell r="M86">
            <v>841419.17</v>
          </cell>
          <cell r="N86">
            <v>713600.21</v>
          </cell>
          <cell r="O86">
            <v>713600.21</v>
          </cell>
          <cell r="P86">
            <v>713600.21</v>
          </cell>
        </row>
        <row r="86">
          <cell r="T86">
            <v>9096852.47</v>
          </cell>
          <cell r="U86">
            <v>7829074.63</v>
          </cell>
          <cell r="V86">
            <v>7618104.57</v>
          </cell>
        </row>
        <row r="87">
          <cell r="A87" t="str">
            <v>Mirpur</v>
          </cell>
          <cell r="B87">
            <v>832583.83</v>
          </cell>
          <cell r="C87">
            <v>313756.35</v>
          </cell>
          <cell r="D87">
            <v>313248.09</v>
          </cell>
          <cell r="E87">
            <v>21398661.1</v>
          </cell>
          <cell r="F87">
            <v>10493233.8</v>
          </cell>
          <cell r="G87">
            <v>9960711.7</v>
          </cell>
          <cell r="H87">
            <v>21645809.29</v>
          </cell>
          <cell r="I87">
            <v>15036966.17</v>
          </cell>
          <cell r="J87">
            <v>14941827.45</v>
          </cell>
          <cell r="K87">
            <v>9577753.65</v>
          </cell>
          <cell r="L87">
            <v>7239234.38</v>
          </cell>
          <cell r="M87">
            <v>6850188.24</v>
          </cell>
          <cell r="N87">
            <v>5218232.26</v>
          </cell>
          <cell r="O87">
            <v>4885383.11</v>
          </cell>
          <cell r="P87">
            <v>4884662.14</v>
          </cell>
          <cell r="Q87">
            <v>3719801.71</v>
          </cell>
          <cell r="R87">
            <v>3721276.48</v>
          </cell>
          <cell r="S87">
            <v>3719801.71</v>
          </cell>
          <cell r="T87">
            <v>62392841.84</v>
          </cell>
          <cell r="U87">
            <v>41689850.29</v>
          </cell>
          <cell r="V87">
            <v>40670439.33</v>
          </cell>
        </row>
        <row r="88">
          <cell r="A88" t="str">
            <v>Moghbazar</v>
          </cell>
          <cell r="B88">
            <v>425155.56</v>
          </cell>
          <cell r="C88">
            <v>358092.83</v>
          </cell>
          <cell r="D88">
            <v>304686.15</v>
          </cell>
          <cell r="E88">
            <v>6856227.48</v>
          </cell>
          <cell r="F88">
            <v>5342307.68</v>
          </cell>
          <cell r="G88">
            <v>5194803.55</v>
          </cell>
          <cell r="H88">
            <v>16823722.07</v>
          </cell>
          <cell r="I88">
            <v>12308057.03</v>
          </cell>
          <cell r="J88">
            <v>11971099.85</v>
          </cell>
          <cell r="K88">
            <v>6192590.99</v>
          </cell>
          <cell r="L88">
            <v>6205524.55</v>
          </cell>
          <cell r="M88">
            <v>6192590.99</v>
          </cell>
          <cell r="N88">
            <v>5576879.3</v>
          </cell>
          <cell r="O88">
            <v>4997743.43</v>
          </cell>
          <cell r="P88">
            <v>4279932.71</v>
          </cell>
          <cell r="Q88">
            <v>4376119.18</v>
          </cell>
          <cell r="R88">
            <v>6692159.51</v>
          </cell>
          <cell r="S88">
            <v>4324679.1</v>
          </cell>
          <cell r="T88">
            <v>40250694.58</v>
          </cell>
          <cell r="U88">
            <v>35903885.03</v>
          </cell>
          <cell r="V88">
            <v>32267792.35</v>
          </cell>
        </row>
        <row r="89">
          <cell r="A89" t="str">
            <v>Mohammadpur</v>
          </cell>
          <cell r="B89">
            <v>896704.02</v>
          </cell>
          <cell r="C89">
            <v>567271.11</v>
          </cell>
          <cell r="D89">
            <v>566294.92</v>
          </cell>
          <cell r="E89">
            <v>10905617.83</v>
          </cell>
          <cell r="F89">
            <v>7824944.71</v>
          </cell>
          <cell r="G89">
            <v>7746002.89</v>
          </cell>
          <cell r="H89">
            <v>20629822.37</v>
          </cell>
          <cell r="I89">
            <v>12433658.78</v>
          </cell>
          <cell r="J89">
            <v>12031498.13</v>
          </cell>
          <cell r="K89">
            <v>3901305.5</v>
          </cell>
          <cell r="L89">
            <v>3053863.09</v>
          </cell>
          <cell r="M89">
            <v>3053768.76</v>
          </cell>
          <cell r="N89">
            <v>1893094.85</v>
          </cell>
          <cell r="O89">
            <v>2039160.6</v>
          </cell>
          <cell r="P89">
            <v>1786767.08</v>
          </cell>
        </row>
        <row r="89">
          <cell r="T89">
            <v>38226544.57</v>
          </cell>
          <cell r="U89">
            <v>25918898.29</v>
          </cell>
          <cell r="V89">
            <v>25184331.78</v>
          </cell>
        </row>
        <row r="90">
          <cell r="A90" t="str">
            <v>Mymensingh</v>
          </cell>
          <cell r="B90">
            <v>1256099.4</v>
          </cell>
          <cell r="C90">
            <v>185438.31</v>
          </cell>
          <cell r="D90">
            <v>183984.51</v>
          </cell>
          <cell r="E90">
            <v>28110783.92</v>
          </cell>
          <cell r="F90">
            <v>19994691.29</v>
          </cell>
          <cell r="G90">
            <v>18893758.42</v>
          </cell>
          <cell r="H90">
            <v>24637589.36</v>
          </cell>
          <cell r="I90">
            <v>20831498.41</v>
          </cell>
          <cell r="J90">
            <v>20189933.97</v>
          </cell>
          <cell r="K90">
            <v>4257503.17</v>
          </cell>
          <cell r="L90">
            <v>3986249.69</v>
          </cell>
          <cell r="M90">
            <v>3978391.89</v>
          </cell>
          <cell r="N90">
            <v>3154463.05</v>
          </cell>
          <cell r="O90">
            <v>1552302.47</v>
          </cell>
          <cell r="P90">
            <v>1551729.2</v>
          </cell>
          <cell r="Q90">
            <v>5169802.3</v>
          </cell>
          <cell r="R90">
            <v>4564148.7</v>
          </cell>
          <cell r="S90">
            <v>4563224.18</v>
          </cell>
          <cell r="T90">
            <v>66586241.2</v>
          </cell>
          <cell r="U90">
            <v>51114328.87</v>
          </cell>
          <cell r="V90">
            <v>49361022.17</v>
          </cell>
        </row>
        <row r="91">
          <cell r="A91" t="str">
            <v>Nangolkot</v>
          </cell>
          <cell r="B91">
            <v>11296705.79</v>
          </cell>
          <cell r="C91">
            <v>10406463.07</v>
          </cell>
          <cell r="D91">
            <v>10370718.05</v>
          </cell>
          <cell r="E91">
            <v>29047018.11</v>
          </cell>
          <cell r="F91">
            <v>25841822.61</v>
          </cell>
          <cell r="G91">
            <v>25589849.51</v>
          </cell>
          <cell r="H91">
            <v>1758511.06</v>
          </cell>
          <cell r="I91">
            <v>1571951.17</v>
          </cell>
          <cell r="J91">
            <v>1569941.77</v>
          </cell>
        </row>
        <row r="91">
          <cell r="T91">
            <v>42102234.96</v>
          </cell>
          <cell r="U91">
            <v>37820236.85</v>
          </cell>
          <cell r="V91">
            <v>37530509.33</v>
          </cell>
        </row>
        <row r="92">
          <cell r="A92" t="str">
            <v>Naogaon</v>
          </cell>
          <cell r="B92">
            <v>3266453.25</v>
          </cell>
          <cell r="C92">
            <v>2633250.3</v>
          </cell>
          <cell r="D92">
            <v>2568704.32</v>
          </cell>
          <cell r="E92">
            <v>8398455.28</v>
          </cell>
          <cell r="F92">
            <v>5531538.93</v>
          </cell>
          <cell r="G92">
            <v>5447096.38</v>
          </cell>
          <cell r="H92">
            <v>10699320.14</v>
          </cell>
          <cell r="I92">
            <v>9897962.54</v>
          </cell>
          <cell r="J92">
            <v>9845169.69</v>
          </cell>
          <cell r="K92">
            <v>4414623.06</v>
          </cell>
          <cell r="L92">
            <v>4363174.95</v>
          </cell>
          <cell r="M92">
            <v>4360342.3</v>
          </cell>
          <cell r="N92">
            <v>4222327.41</v>
          </cell>
          <cell r="O92">
            <v>3583956.01</v>
          </cell>
          <cell r="P92">
            <v>3581456.11</v>
          </cell>
          <cell r="Q92">
            <v>2975121.14</v>
          </cell>
          <cell r="R92">
            <v>7708788.13</v>
          </cell>
          <cell r="S92">
            <v>2975121.14</v>
          </cell>
          <cell r="T92">
            <v>33976300.28</v>
          </cell>
          <cell r="U92">
            <v>33718670.86</v>
          </cell>
          <cell r="V92">
            <v>28777889.94</v>
          </cell>
        </row>
        <row r="93">
          <cell r="A93" t="str">
            <v>Narail</v>
          </cell>
          <cell r="B93">
            <v>3734825.43</v>
          </cell>
          <cell r="C93">
            <v>2731445.16</v>
          </cell>
          <cell r="D93">
            <v>2645507.79</v>
          </cell>
          <cell r="E93">
            <v>6865886.2</v>
          </cell>
          <cell r="F93">
            <v>5886368.91</v>
          </cell>
          <cell r="G93">
            <v>5804546.05</v>
          </cell>
          <cell r="H93">
            <v>9702074.44</v>
          </cell>
          <cell r="I93">
            <v>8800193.72</v>
          </cell>
          <cell r="J93">
            <v>8780182.65</v>
          </cell>
          <cell r="K93">
            <v>1383489.78</v>
          </cell>
          <cell r="L93">
            <v>1481672.15</v>
          </cell>
          <cell r="M93">
            <v>1383489.78</v>
          </cell>
          <cell r="N93">
            <v>626523.98</v>
          </cell>
          <cell r="O93">
            <v>625211.88</v>
          </cell>
          <cell r="P93">
            <v>625211.88</v>
          </cell>
          <cell r="Q93">
            <v>672180.37</v>
          </cell>
          <cell r="R93">
            <v>672485.53</v>
          </cell>
          <cell r="S93">
            <v>672180.37</v>
          </cell>
          <cell r="T93">
            <v>22984980.2</v>
          </cell>
          <cell r="U93">
            <v>20197377.35</v>
          </cell>
          <cell r="V93">
            <v>19911118.52</v>
          </cell>
        </row>
        <row r="94">
          <cell r="A94" t="str">
            <v>Narayangonj</v>
          </cell>
          <cell r="B94">
            <v>766126.49</v>
          </cell>
          <cell r="C94">
            <v>592843.68</v>
          </cell>
          <cell r="D94">
            <v>590279.1</v>
          </cell>
          <cell r="E94">
            <v>19155967.75</v>
          </cell>
          <cell r="F94">
            <v>12028051.79</v>
          </cell>
          <cell r="G94">
            <v>11366594.34</v>
          </cell>
          <cell r="H94">
            <v>15448005.18</v>
          </cell>
          <cell r="I94">
            <v>11075314.68</v>
          </cell>
          <cell r="J94">
            <v>10496718.83</v>
          </cell>
          <cell r="K94">
            <v>5308346.01</v>
          </cell>
          <cell r="L94">
            <v>4588118.96</v>
          </cell>
          <cell r="M94">
            <v>4585130.14</v>
          </cell>
          <cell r="N94">
            <v>5453323.35</v>
          </cell>
          <cell r="O94">
            <v>3192646.54</v>
          </cell>
          <cell r="P94">
            <v>3188150.73</v>
          </cell>
          <cell r="Q94">
            <v>5698345.86</v>
          </cell>
          <cell r="R94">
            <v>5705528.92</v>
          </cell>
          <cell r="S94">
            <v>5698345.86</v>
          </cell>
          <cell r="T94">
            <v>51830114.64</v>
          </cell>
          <cell r="U94">
            <v>37182504.57</v>
          </cell>
          <cell r="V94">
            <v>35925219</v>
          </cell>
        </row>
        <row r="95">
          <cell r="A95" t="str">
            <v>Narsingdi</v>
          </cell>
          <cell r="B95">
            <v>3431559.45</v>
          </cell>
          <cell r="C95">
            <v>2826912.69</v>
          </cell>
          <cell r="D95">
            <v>2671573.84</v>
          </cell>
          <cell r="E95">
            <v>18658495.79</v>
          </cell>
          <cell r="F95">
            <v>15365291.14</v>
          </cell>
          <cell r="G95">
            <v>14922706.44</v>
          </cell>
          <cell r="H95">
            <v>24379111.09</v>
          </cell>
          <cell r="I95">
            <v>16949339.62</v>
          </cell>
          <cell r="J95">
            <v>16358095.81</v>
          </cell>
          <cell r="K95">
            <v>4632618.72</v>
          </cell>
          <cell r="L95">
            <v>5005312.02</v>
          </cell>
          <cell r="M95">
            <v>4632618.72</v>
          </cell>
          <cell r="N95">
            <v>6057218.39</v>
          </cell>
          <cell r="O95">
            <v>5879485.75</v>
          </cell>
          <cell r="P95">
            <v>5875286.97</v>
          </cell>
          <cell r="Q95">
            <v>3720524.02</v>
          </cell>
          <cell r="R95">
            <v>3722906.89</v>
          </cell>
          <cell r="S95">
            <v>3720524.02</v>
          </cell>
          <cell r="T95">
            <v>60879527.46</v>
          </cell>
          <cell r="U95">
            <v>49749248.11</v>
          </cell>
          <cell r="V95">
            <v>48180805.8</v>
          </cell>
        </row>
        <row r="96">
          <cell r="A96" t="str">
            <v>Nawabgonj</v>
          </cell>
          <cell r="B96">
            <v>5965096.22</v>
          </cell>
          <cell r="C96">
            <v>5397022.12</v>
          </cell>
          <cell r="D96">
            <v>5365105.53</v>
          </cell>
          <cell r="E96">
            <v>22874770.39</v>
          </cell>
          <cell r="F96">
            <v>19499309.3</v>
          </cell>
          <cell r="G96">
            <v>19427194.43</v>
          </cell>
          <cell r="H96">
            <v>5646029.36</v>
          </cell>
          <cell r="I96">
            <v>4871070.26</v>
          </cell>
          <cell r="J96">
            <v>4866877.21</v>
          </cell>
          <cell r="K96">
            <v>279160.21</v>
          </cell>
          <cell r="L96">
            <v>279160.21</v>
          </cell>
          <cell r="M96">
            <v>279160.21</v>
          </cell>
        </row>
        <row r="96">
          <cell r="T96">
            <v>34765056.18</v>
          </cell>
          <cell r="U96">
            <v>30046561.89</v>
          </cell>
          <cell r="V96">
            <v>29938337.38</v>
          </cell>
        </row>
        <row r="97">
          <cell r="A97" t="str">
            <v>Nawabpur</v>
          </cell>
          <cell r="B97">
            <v>1180356.59</v>
          </cell>
          <cell r="C97">
            <v>38789.32</v>
          </cell>
          <cell r="D97">
            <v>38789.32</v>
          </cell>
          <cell r="E97">
            <v>10793165.25</v>
          </cell>
          <cell r="F97">
            <v>8259406.37</v>
          </cell>
          <cell r="G97">
            <v>8188062.52</v>
          </cell>
          <cell r="H97">
            <v>23745035.99</v>
          </cell>
          <cell r="I97">
            <v>18789642.95</v>
          </cell>
          <cell r="J97">
            <v>16750981.69</v>
          </cell>
          <cell r="K97">
            <v>7538003.2</v>
          </cell>
          <cell r="L97">
            <v>3862614.38</v>
          </cell>
          <cell r="M97">
            <v>3857164.22</v>
          </cell>
          <cell r="N97">
            <v>6620356.36</v>
          </cell>
          <cell r="O97">
            <v>5937362.76</v>
          </cell>
          <cell r="P97">
            <v>5933076.13</v>
          </cell>
          <cell r="Q97">
            <v>5496682.97</v>
          </cell>
          <cell r="R97">
            <v>3580614.21</v>
          </cell>
          <cell r="S97">
            <v>3579129.21</v>
          </cell>
          <cell r="T97">
            <v>55373600.36</v>
          </cell>
          <cell r="U97">
            <v>40468429.99</v>
          </cell>
          <cell r="V97">
            <v>38347203.09</v>
          </cell>
        </row>
        <row r="98">
          <cell r="A98" t="str">
            <v>Nondon Kanon</v>
          </cell>
          <cell r="B98">
            <v>658484.57</v>
          </cell>
          <cell r="C98">
            <v>255297.1</v>
          </cell>
          <cell r="D98">
            <v>195608.52</v>
          </cell>
          <cell r="E98">
            <v>9106352.78</v>
          </cell>
          <cell r="F98">
            <v>4608840.32</v>
          </cell>
          <cell r="G98">
            <v>4516704.41</v>
          </cell>
          <cell r="H98">
            <v>32258090.24</v>
          </cell>
          <cell r="I98">
            <v>18497306.21</v>
          </cell>
          <cell r="J98">
            <v>18103794.8</v>
          </cell>
          <cell r="K98">
            <v>6822312.11</v>
          </cell>
          <cell r="L98">
            <v>7014235.85</v>
          </cell>
          <cell r="M98">
            <v>6416919.06</v>
          </cell>
          <cell r="N98">
            <v>3319831.37</v>
          </cell>
          <cell r="O98">
            <v>3349476.31</v>
          </cell>
          <cell r="P98">
            <v>2915043.22</v>
          </cell>
          <cell r="Q98">
            <v>2061164.49</v>
          </cell>
          <cell r="R98">
            <v>2062596</v>
          </cell>
          <cell r="S98">
            <v>2061164.49</v>
          </cell>
          <cell r="T98">
            <v>54226235.56</v>
          </cell>
          <cell r="U98">
            <v>35787751.79</v>
          </cell>
          <cell r="V98">
            <v>34209234.5</v>
          </cell>
        </row>
        <row r="99">
          <cell r="A99" t="str">
            <v>Pabna</v>
          </cell>
          <cell r="B99">
            <v>2378387.21</v>
          </cell>
          <cell r="C99">
            <v>2276963.46</v>
          </cell>
          <cell r="D99">
            <v>2213579.9</v>
          </cell>
          <cell r="E99">
            <v>13464423.78</v>
          </cell>
          <cell r="F99">
            <v>11298153.54</v>
          </cell>
          <cell r="G99">
            <v>11063169.46</v>
          </cell>
          <cell r="H99">
            <v>18691211.84</v>
          </cell>
          <cell r="I99">
            <v>16268599.51</v>
          </cell>
          <cell r="J99">
            <v>15589346.84</v>
          </cell>
          <cell r="K99">
            <v>5629290.45</v>
          </cell>
          <cell r="L99">
            <v>5636353.79</v>
          </cell>
          <cell r="M99">
            <v>5594296.64</v>
          </cell>
          <cell r="N99">
            <v>5523556.62</v>
          </cell>
          <cell r="O99">
            <v>5526375.61</v>
          </cell>
          <cell r="P99">
            <v>5523556.62</v>
          </cell>
          <cell r="Q99">
            <v>7592709.88</v>
          </cell>
          <cell r="R99">
            <v>5552653.84</v>
          </cell>
          <cell r="S99">
            <v>5548715.87</v>
          </cell>
          <cell r="T99">
            <v>53279579.78</v>
          </cell>
          <cell r="U99">
            <v>46559099.75</v>
          </cell>
          <cell r="V99">
            <v>45532665.33</v>
          </cell>
        </row>
        <row r="100">
          <cell r="A100" t="str">
            <v>Pahartali</v>
          </cell>
          <cell r="B100">
            <v>923991.36</v>
          </cell>
          <cell r="C100">
            <v>628876.33</v>
          </cell>
          <cell r="D100">
            <v>628241.57</v>
          </cell>
          <cell r="E100">
            <v>11723449.66</v>
          </cell>
          <cell r="F100">
            <v>10660361.58</v>
          </cell>
          <cell r="G100">
            <v>10238072.85</v>
          </cell>
          <cell r="H100">
            <v>14479776.87</v>
          </cell>
          <cell r="I100">
            <v>11139499.18</v>
          </cell>
          <cell r="J100">
            <v>10926522</v>
          </cell>
          <cell r="K100">
            <v>13621107.05</v>
          </cell>
          <cell r="L100">
            <v>4518395.85</v>
          </cell>
          <cell r="M100">
            <v>4262164.26</v>
          </cell>
          <cell r="N100">
            <v>1752539.91</v>
          </cell>
          <cell r="O100">
            <v>1407098.82</v>
          </cell>
          <cell r="P100">
            <v>1298861.01</v>
          </cell>
        </row>
        <row r="100">
          <cell r="T100">
            <v>42500864.85</v>
          </cell>
          <cell r="U100">
            <v>28354231.76</v>
          </cell>
          <cell r="V100">
            <v>27353861.69</v>
          </cell>
        </row>
        <row r="101">
          <cell r="A101" t="str">
            <v>Panchaghar</v>
          </cell>
          <cell r="B101">
            <v>2158814.48</v>
          </cell>
          <cell r="C101">
            <v>1741681.86</v>
          </cell>
          <cell r="D101">
            <v>1740706.37</v>
          </cell>
          <cell r="E101">
            <v>8090651.91</v>
          </cell>
          <cell r="F101">
            <v>5047823.72</v>
          </cell>
          <cell r="G101">
            <v>4996598.46</v>
          </cell>
          <cell r="H101">
            <v>9253494.01</v>
          </cell>
          <cell r="I101">
            <v>8090613.69</v>
          </cell>
          <cell r="J101">
            <v>8080674.26</v>
          </cell>
          <cell r="K101">
            <v>841617.89</v>
          </cell>
          <cell r="L101">
            <v>690981.32</v>
          </cell>
          <cell r="M101">
            <v>690981.32</v>
          </cell>
          <cell r="N101">
            <v>948670.16</v>
          </cell>
          <cell r="O101">
            <v>325000</v>
          </cell>
          <cell r="P101">
            <v>324943.88</v>
          </cell>
        </row>
        <row r="101">
          <cell r="T101">
            <v>21293248.45</v>
          </cell>
          <cell r="U101">
            <v>15896100.59</v>
          </cell>
          <cell r="V101">
            <v>15833904.29</v>
          </cell>
        </row>
        <row r="102">
          <cell r="A102" t="str">
            <v>Patuakhali</v>
          </cell>
          <cell r="B102">
            <v>4559278.77</v>
          </cell>
          <cell r="C102">
            <v>2167245.8</v>
          </cell>
          <cell r="D102">
            <v>1992484.92</v>
          </cell>
          <cell r="E102">
            <v>23338917.32</v>
          </cell>
          <cell r="F102">
            <v>15016788.85</v>
          </cell>
          <cell r="G102">
            <v>14613117.16</v>
          </cell>
          <cell r="H102">
            <v>18314966.7</v>
          </cell>
          <cell r="I102">
            <v>12537430.85</v>
          </cell>
          <cell r="J102">
            <v>12330260.02</v>
          </cell>
          <cell r="K102">
            <v>2407190.34</v>
          </cell>
          <cell r="L102">
            <v>2139560.37</v>
          </cell>
          <cell r="M102">
            <v>2138554.87</v>
          </cell>
          <cell r="N102">
            <v>1830778.13</v>
          </cell>
          <cell r="O102">
            <v>10000</v>
          </cell>
          <cell r="P102">
            <v>10000</v>
          </cell>
        </row>
        <row r="102">
          <cell r="T102">
            <v>50451131.26</v>
          </cell>
          <cell r="U102">
            <v>31871025.87</v>
          </cell>
          <cell r="V102">
            <v>31084416.97</v>
          </cell>
        </row>
        <row r="103">
          <cell r="A103" t="str">
            <v>Potiya</v>
          </cell>
          <cell r="B103">
            <v>3036652.17</v>
          </cell>
          <cell r="C103">
            <v>1979635.01</v>
          </cell>
          <cell r="D103">
            <v>1904533.56</v>
          </cell>
          <cell r="E103">
            <v>9297944.64</v>
          </cell>
          <cell r="F103">
            <v>6794864</v>
          </cell>
          <cell r="G103">
            <v>6195349.39</v>
          </cell>
          <cell r="H103">
            <v>12589810.72</v>
          </cell>
          <cell r="I103">
            <v>7156951.52</v>
          </cell>
          <cell r="J103">
            <v>6939355.39</v>
          </cell>
          <cell r="K103">
            <v>994450.85</v>
          </cell>
          <cell r="L103">
            <v>796543.76</v>
          </cell>
          <cell r="M103">
            <v>795274.21</v>
          </cell>
          <cell r="N103">
            <v>1183792.92</v>
          </cell>
          <cell r="O103">
            <v>1186740.82</v>
          </cell>
          <cell r="P103">
            <v>1183792.92</v>
          </cell>
        </row>
        <row r="103">
          <cell r="T103">
            <v>27102651.3</v>
          </cell>
          <cell r="U103">
            <v>17914735.11</v>
          </cell>
          <cell r="V103">
            <v>17018305.47</v>
          </cell>
        </row>
        <row r="104">
          <cell r="A104" t="str">
            <v>Rajbari</v>
          </cell>
          <cell r="B104">
            <v>4507551.44</v>
          </cell>
          <cell r="C104">
            <v>3324767.13</v>
          </cell>
          <cell r="D104">
            <v>3242454.19</v>
          </cell>
          <cell r="E104">
            <v>11698357.26</v>
          </cell>
          <cell r="F104">
            <v>8198647.59</v>
          </cell>
          <cell r="G104">
            <v>7968990.99</v>
          </cell>
          <cell r="H104">
            <v>6762607.58</v>
          </cell>
          <cell r="I104">
            <v>4951916.42</v>
          </cell>
          <cell r="J104">
            <v>4743215.49</v>
          </cell>
          <cell r="K104">
            <v>2508581.26</v>
          </cell>
          <cell r="L104">
            <v>1322025.34</v>
          </cell>
          <cell r="M104">
            <v>1321419.78</v>
          </cell>
          <cell r="N104">
            <v>962235.65</v>
          </cell>
          <cell r="O104">
            <v>336939.52</v>
          </cell>
          <cell r="P104">
            <v>336939.52</v>
          </cell>
          <cell r="Q104">
            <v>374619.66</v>
          </cell>
          <cell r="R104">
            <v>374937.04</v>
          </cell>
          <cell r="S104">
            <v>374619.66</v>
          </cell>
          <cell r="T104">
            <v>26813952.85</v>
          </cell>
          <cell r="U104">
            <v>18509233.04</v>
          </cell>
          <cell r="V104">
            <v>17987639.63</v>
          </cell>
        </row>
        <row r="105">
          <cell r="A105" t="str">
            <v>Rajshahi</v>
          </cell>
          <cell r="B105">
            <v>1990089.84</v>
          </cell>
          <cell r="C105">
            <v>1166043.1</v>
          </cell>
          <cell r="D105">
            <v>1119056.71</v>
          </cell>
          <cell r="E105">
            <v>17911837.74</v>
          </cell>
          <cell r="F105">
            <v>12711093.87</v>
          </cell>
          <cell r="G105">
            <v>12302385.74</v>
          </cell>
          <cell r="H105">
            <v>24018451.49</v>
          </cell>
          <cell r="I105">
            <v>21062803.19</v>
          </cell>
          <cell r="J105">
            <v>20873053.55</v>
          </cell>
          <cell r="K105">
            <v>6076473.74</v>
          </cell>
          <cell r="L105">
            <v>5482568.99</v>
          </cell>
          <cell r="M105">
            <v>5479253.81</v>
          </cell>
          <cell r="N105">
            <v>4983779.67</v>
          </cell>
          <cell r="O105">
            <v>4986495.49</v>
          </cell>
          <cell r="P105">
            <v>4983779.67</v>
          </cell>
          <cell r="Q105">
            <v>2674452.03</v>
          </cell>
          <cell r="R105">
            <v>2675019.65</v>
          </cell>
          <cell r="S105">
            <v>2674452.03</v>
          </cell>
          <cell r="T105">
            <v>57655084.51</v>
          </cell>
          <cell r="U105">
            <v>48084024.29</v>
          </cell>
          <cell r="V105">
            <v>47431981.51</v>
          </cell>
        </row>
        <row r="106">
          <cell r="A106" t="str">
            <v>Rangpur</v>
          </cell>
          <cell r="B106">
            <v>4531753.33</v>
          </cell>
          <cell r="C106">
            <v>2722055.77</v>
          </cell>
          <cell r="D106">
            <v>2661489.05</v>
          </cell>
          <cell r="E106">
            <v>8973850.4</v>
          </cell>
          <cell r="F106">
            <v>7250873.22</v>
          </cell>
          <cell r="G106">
            <v>6996241.02</v>
          </cell>
          <cell r="H106">
            <v>10894879.1</v>
          </cell>
          <cell r="I106">
            <v>9121199.05</v>
          </cell>
          <cell r="J106">
            <v>8956915.5</v>
          </cell>
          <cell r="K106">
            <v>3296573.4</v>
          </cell>
          <cell r="L106">
            <v>3452701.01</v>
          </cell>
          <cell r="M106">
            <v>3296573.4</v>
          </cell>
          <cell r="N106">
            <v>3419551.71</v>
          </cell>
          <cell r="O106">
            <v>3422088.79</v>
          </cell>
          <cell r="P106">
            <v>3419551.71</v>
          </cell>
          <cell r="Q106">
            <v>9308674.55</v>
          </cell>
          <cell r="R106">
            <v>8821805.69</v>
          </cell>
          <cell r="S106">
            <v>6923470.85</v>
          </cell>
          <cell r="T106">
            <v>40425282.49</v>
          </cell>
          <cell r="U106">
            <v>34790723.53</v>
          </cell>
          <cell r="V106">
            <v>32254241.53</v>
          </cell>
        </row>
        <row r="107">
          <cell r="A107" t="str">
            <v>Sathkhira</v>
          </cell>
          <cell r="B107">
            <v>994176.16</v>
          </cell>
          <cell r="C107">
            <v>926605.96</v>
          </cell>
          <cell r="D107">
            <v>924954.76</v>
          </cell>
          <cell r="E107">
            <v>4529476.89</v>
          </cell>
          <cell r="F107">
            <v>4059223.25</v>
          </cell>
          <cell r="G107">
            <v>4002139.72</v>
          </cell>
          <cell r="H107">
            <v>2462092.24</v>
          </cell>
          <cell r="I107">
            <v>2342906.82</v>
          </cell>
          <cell r="J107">
            <v>2339982.88</v>
          </cell>
          <cell r="K107">
            <v>718880.96</v>
          </cell>
          <cell r="L107">
            <v>718947.7</v>
          </cell>
          <cell r="M107">
            <v>718880.96</v>
          </cell>
        </row>
        <row r="107">
          <cell r="T107">
            <v>8704626.25</v>
          </cell>
          <cell r="U107">
            <v>8047683.73</v>
          </cell>
          <cell r="V107">
            <v>7985958.32</v>
          </cell>
        </row>
        <row r="108">
          <cell r="A108" t="str">
            <v>Savar</v>
          </cell>
          <cell r="B108">
            <v>1052003.46</v>
          </cell>
          <cell r="C108">
            <v>521081.79</v>
          </cell>
          <cell r="D108">
            <v>452522.05</v>
          </cell>
          <cell r="E108">
            <v>9238265.9</v>
          </cell>
          <cell r="F108">
            <v>5891138.36</v>
          </cell>
          <cell r="G108">
            <v>5761705.95</v>
          </cell>
          <cell r="H108">
            <v>10354706.42</v>
          </cell>
          <cell r="I108">
            <v>6622279.16</v>
          </cell>
          <cell r="J108">
            <v>6433181.53</v>
          </cell>
          <cell r="K108">
            <v>3506903.77</v>
          </cell>
          <cell r="L108">
            <v>2472229.46</v>
          </cell>
          <cell r="M108">
            <v>2289832.92</v>
          </cell>
          <cell r="N108">
            <v>3378270.16</v>
          </cell>
          <cell r="O108">
            <v>1879636.98</v>
          </cell>
          <cell r="P108">
            <v>1875945.61</v>
          </cell>
          <cell r="Q108">
            <v>1230892.97</v>
          </cell>
          <cell r="R108">
            <v>802384.33</v>
          </cell>
          <cell r="S108">
            <v>802384.33</v>
          </cell>
          <cell r="T108">
            <v>28761042.68</v>
          </cell>
          <cell r="U108">
            <v>18188750.08</v>
          </cell>
          <cell r="V108">
            <v>17615572.39</v>
          </cell>
        </row>
        <row r="109">
          <cell r="A109" t="str">
            <v>Savar-2</v>
          </cell>
          <cell r="B109">
            <v>923667.43</v>
          </cell>
          <cell r="C109">
            <v>741047.99</v>
          </cell>
          <cell r="D109">
            <v>739647.71</v>
          </cell>
          <cell r="E109">
            <v>8161450.87</v>
          </cell>
          <cell r="F109">
            <v>6214358.56</v>
          </cell>
          <cell r="G109">
            <v>6166194.29</v>
          </cell>
          <cell r="H109">
            <v>6316882.92</v>
          </cell>
          <cell r="I109">
            <v>5405528.69</v>
          </cell>
          <cell r="J109">
            <v>5207129.33</v>
          </cell>
          <cell r="K109">
            <v>8293156.98</v>
          </cell>
          <cell r="L109">
            <v>1882053.15</v>
          </cell>
          <cell r="M109">
            <v>1880962.05</v>
          </cell>
          <cell r="N109">
            <v>1477814.52</v>
          </cell>
          <cell r="O109">
            <v>1327947.38</v>
          </cell>
          <cell r="P109">
            <v>1327765.52</v>
          </cell>
          <cell r="Q109">
            <v>4906080.92</v>
          </cell>
          <cell r="R109">
            <v>3214477.57</v>
          </cell>
          <cell r="S109">
            <v>3213728.73</v>
          </cell>
          <cell r="T109">
            <v>30079053.64</v>
          </cell>
          <cell r="U109">
            <v>18785413.34</v>
          </cell>
          <cell r="V109">
            <v>18535427.63</v>
          </cell>
        </row>
        <row r="110">
          <cell r="A110" t="str">
            <v>Shaheshtagonj</v>
          </cell>
          <cell r="B110">
            <v>12419830.75</v>
          </cell>
          <cell r="C110">
            <v>11205206.71</v>
          </cell>
          <cell r="D110">
            <v>10977507.22</v>
          </cell>
          <cell r="E110">
            <v>19197093.23</v>
          </cell>
          <cell r="F110">
            <v>16581142.99</v>
          </cell>
          <cell r="G110">
            <v>16538116.2</v>
          </cell>
          <cell r="H110">
            <v>4026793.84</v>
          </cell>
          <cell r="I110">
            <v>1919806.68</v>
          </cell>
          <cell r="J110">
            <v>1916754.73</v>
          </cell>
        </row>
        <row r="110">
          <cell r="T110">
            <v>35643717.82</v>
          </cell>
          <cell r="U110">
            <v>29706156.38</v>
          </cell>
          <cell r="V110">
            <v>29432378.15</v>
          </cell>
        </row>
        <row r="111">
          <cell r="A111" t="str">
            <v>Shambazar</v>
          </cell>
          <cell r="B111">
            <v>1081338.41</v>
          </cell>
          <cell r="C111">
            <v>156236.72</v>
          </cell>
          <cell r="D111">
            <v>147803.05</v>
          </cell>
          <cell r="E111">
            <v>19172343.87</v>
          </cell>
          <cell r="F111">
            <v>14477779.11</v>
          </cell>
          <cell r="G111">
            <v>12768089.37</v>
          </cell>
          <cell r="H111">
            <v>46880710.76</v>
          </cell>
          <cell r="I111">
            <v>33653661.27</v>
          </cell>
          <cell r="J111">
            <v>27220905.4</v>
          </cell>
          <cell r="K111">
            <v>13143459.78</v>
          </cell>
          <cell r="L111">
            <v>11617305.67</v>
          </cell>
          <cell r="M111">
            <v>11607314.99</v>
          </cell>
          <cell r="N111">
            <v>6620227.71</v>
          </cell>
          <cell r="O111">
            <v>6233991.39</v>
          </cell>
          <cell r="P111">
            <v>6228012.22</v>
          </cell>
          <cell r="Q111">
            <v>4086912.6</v>
          </cell>
          <cell r="R111">
            <v>4088271.35</v>
          </cell>
          <cell r="S111">
            <v>4086912.6</v>
          </cell>
          <cell r="T111">
            <v>90984993.13</v>
          </cell>
          <cell r="U111">
            <v>70227245.51</v>
          </cell>
          <cell r="V111">
            <v>62059037.63</v>
          </cell>
        </row>
        <row r="112">
          <cell r="A112" t="str">
            <v>Shariatpur</v>
          </cell>
          <cell r="B112">
            <v>2015343.45</v>
          </cell>
          <cell r="C112">
            <v>1127227.08</v>
          </cell>
          <cell r="D112">
            <v>1126377.51</v>
          </cell>
          <cell r="E112">
            <v>22062314.32</v>
          </cell>
          <cell r="F112">
            <v>20031963.34</v>
          </cell>
          <cell r="G112">
            <v>19824151.62</v>
          </cell>
          <cell r="H112">
            <v>8889355.93</v>
          </cell>
          <cell r="I112">
            <v>7518111.92</v>
          </cell>
          <cell r="J112">
            <v>7379753.5</v>
          </cell>
          <cell r="K112">
            <v>2672526.04</v>
          </cell>
          <cell r="L112">
            <v>2392186.39</v>
          </cell>
          <cell r="M112">
            <v>2390569.18</v>
          </cell>
          <cell r="N112">
            <v>674115.33</v>
          </cell>
          <cell r="O112">
            <v>674115.54</v>
          </cell>
          <cell r="P112">
            <v>674115.33</v>
          </cell>
          <cell r="Q112">
            <v>1654033.25</v>
          </cell>
          <cell r="R112">
            <v>5203629.37</v>
          </cell>
          <cell r="S112">
            <v>1654033.25</v>
          </cell>
          <cell r="T112">
            <v>37967688.32</v>
          </cell>
          <cell r="U112">
            <v>36947233.64</v>
          </cell>
          <cell r="V112">
            <v>33049000.39</v>
          </cell>
        </row>
        <row r="113">
          <cell r="A113" t="str">
            <v>Sherpur</v>
          </cell>
        </row>
        <row r="113">
          <cell r="E113">
            <v>3601126.21</v>
          </cell>
          <cell r="F113">
            <v>3190027.1</v>
          </cell>
          <cell r="G113">
            <v>3187217.79</v>
          </cell>
          <cell r="H113">
            <v>5906895.52</v>
          </cell>
          <cell r="I113">
            <v>4979665.46</v>
          </cell>
          <cell r="J113">
            <v>4971514</v>
          </cell>
          <cell r="K113">
            <v>881494.8</v>
          </cell>
          <cell r="L113">
            <v>881654.62</v>
          </cell>
          <cell r="M113">
            <v>881494.8</v>
          </cell>
          <cell r="N113">
            <v>553028.34</v>
          </cell>
          <cell r="O113">
            <v>553872.2</v>
          </cell>
          <cell r="P113">
            <v>553028.34</v>
          </cell>
          <cell r="Q113">
            <v>671588.69</v>
          </cell>
          <cell r="R113">
            <v>671756.15</v>
          </cell>
          <cell r="S113">
            <v>671588.69</v>
          </cell>
          <cell r="T113">
            <v>11614133.56</v>
          </cell>
          <cell r="U113">
            <v>10276975.53</v>
          </cell>
          <cell r="V113">
            <v>10264843.62</v>
          </cell>
        </row>
        <row r="114">
          <cell r="A114" t="str">
            <v>Shiddirgonj</v>
          </cell>
          <cell r="B114">
            <v>638601.53</v>
          </cell>
          <cell r="C114">
            <v>520107.68</v>
          </cell>
          <cell r="D114">
            <v>519550.69</v>
          </cell>
          <cell r="E114">
            <v>12690171.88</v>
          </cell>
          <cell r="F114">
            <v>10326355.45</v>
          </cell>
          <cell r="G114">
            <v>10216881.96</v>
          </cell>
          <cell r="H114">
            <v>12852350.19</v>
          </cell>
          <cell r="I114">
            <v>11832108.48</v>
          </cell>
          <cell r="J114">
            <v>11708210.82</v>
          </cell>
          <cell r="K114">
            <v>3113733.44</v>
          </cell>
          <cell r="L114">
            <v>2592388.05</v>
          </cell>
          <cell r="M114">
            <v>2578056.61</v>
          </cell>
          <cell r="N114">
            <v>3170652.61</v>
          </cell>
          <cell r="O114">
            <v>3493015.61</v>
          </cell>
          <cell r="P114">
            <v>3170652.61</v>
          </cell>
          <cell r="Q114">
            <v>512664.45</v>
          </cell>
          <cell r="R114">
            <v>513971.68</v>
          </cell>
          <cell r="S114">
            <v>512664.45</v>
          </cell>
          <cell r="T114">
            <v>32978174.1</v>
          </cell>
          <cell r="U114">
            <v>29277946.95</v>
          </cell>
          <cell r="V114">
            <v>28706017.14</v>
          </cell>
        </row>
        <row r="115">
          <cell r="A115" t="str">
            <v>Sirajgonj</v>
          </cell>
          <cell r="B115">
            <v>2770957.48</v>
          </cell>
          <cell r="C115">
            <v>1893484.05</v>
          </cell>
          <cell r="D115">
            <v>1778718.07</v>
          </cell>
          <cell r="E115">
            <v>11158502.03</v>
          </cell>
          <cell r="F115">
            <v>9627578.63</v>
          </cell>
          <cell r="G115">
            <v>9331816.19</v>
          </cell>
          <cell r="H115">
            <v>12650627.92</v>
          </cell>
          <cell r="I115">
            <v>11583722.43</v>
          </cell>
          <cell r="J115">
            <v>11463882.86</v>
          </cell>
          <cell r="K115">
            <v>3587138.37</v>
          </cell>
          <cell r="L115">
            <v>3582644.21</v>
          </cell>
          <cell r="M115">
            <v>3579781.63</v>
          </cell>
          <cell r="N115">
            <v>6354385.92</v>
          </cell>
          <cell r="O115">
            <v>5461086.68</v>
          </cell>
          <cell r="P115">
            <v>5457029.63</v>
          </cell>
        </row>
        <row r="115">
          <cell r="T115">
            <v>36521611.72</v>
          </cell>
          <cell r="U115">
            <v>32148516</v>
          </cell>
          <cell r="V115">
            <v>31611228.38</v>
          </cell>
        </row>
        <row r="116">
          <cell r="A116" t="str">
            <v>Sonir Akhra</v>
          </cell>
          <cell r="B116">
            <v>355916.65</v>
          </cell>
          <cell r="C116">
            <v>242456.43</v>
          </cell>
          <cell r="D116">
            <v>242351.64</v>
          </cell>
          <cell r="E116">
            <v>9838331.89</v>
          </cell>
          <cell r="F116">
            <v>6964221.28</v>
          </cell>
          <cell r="G116">
            <v>6905866.99</v>
          </cell>
          <cell r="H116">
            <v>8848665.51</v>
          </cell>
          <cell r="I116">
            <v>7708791.57</v>
          </cell>
          <cell r="J116">
            <v>7615366.85</v>
          </cell>
          <cell r="K116">
            <v>2210027</v>
          </cell>
          <cell r="L116">
            <v>1447128.25</v>
          </cell>
          <cell r="M116">
            <v>1446952.12</v>
          </cell>
          <cell r="N116">
            <v>4494726.61</v>
          </cell>
          <cell r="O116">
            <v>4672775.7</v>
          </cell>
          <cell r="P116">
            <v>4494726.61</v>
          </cell>
          <cell r="Q116">
            <v>5381669.68</v>
          </cell>
          <cell r="R116">
            <v>3659610.04</v>
          </cell>
          <cell r="S116">
            <v>3658457.64</v>
          </cell>
          <cell r="T116">
            <v>31129337.34</v>
          </cell>
          <cell r="U116">
            <v>24694983.27</v>
          </cell>
          <cell r="V116">
            <v>24363721.85</v>
          </cell>
        </row>
        <row r="117">
          <cell r="A117" t="str">
            <v>South Surma</v>
          </cell>
          <cell r="B117">
            <v>2174042.45</v>
          </cell>
          <cell r="C117">
            <v>1799217.71</v>
          </cell>
          <cell r="D117">
            <v>1738053.44</v>
          </cell>
          <cell r="E117">
            <v>9632470.13</v>
          </cell>
          <cell r="F117">
            <v>5823801.01</v>
          </cell>
          <cell r="G117">
            <v>5514691.54</v>
          </cell>
          <cell r="H117">
            <v>3484271.25</v>
          </cell>
          <cell r="I117">
            <v>2793328.71</v>
          </cell>
          <cell r="J117">
            <v>2617087.2</v>
          </cell>
          <cell r="K117">
            <v>2078785.64</v>
          </cell>
          <cell r="L117">
            <v>1745828.05</v>
          </cell>
          <cell r="M117">
            <v>1742835.91</v>
          </cell>
          <cell r="N117">
            <v>951239.54</v>
          </cell>
          <cell r="O117">
            <v>951239.54</v>
          </cell>
          <cell r="P117">
            <v>951239.54</v>
          </cell>
        </row>
        <row r="117">
          <cell r="T117">
            <v>18320809.01</v>
          </cell>
          <cell r="U117">
            <v>13113415.02</v>
          </cell>
          <cell r="V117">
            <v>12563907.63</v>
          </cell>
        </row>
        <row r="118">
          <cell r="A118" t="str">
            <v>Sreenagar</v>
          </cell>
          <cell r="B118">
            <v>4111299.45</v>
          </cell>
          <cell r="C118">
            <v>3747857.52</v>
          </cell>
          <cell r="D118">
            <v>3717659.17</v>
          </cell>
          <cell r="E118">
            <v>18453356.8</v>
          </cell>
          <cell r="F118">
            <v>15271270.4</v>
          </cell>
          <cell r="G118">
            <v>15161795.63</v>
          </cell>
          <cell r="H118">
            <v>1351719.5</v>
          </cell>
          <cell r="I118">
            <v>1278918.98</v>
          </cell>
          <cell r="J118">
            <v>1277140.91</v>
          </cell>
        </row>
        <row r="118">
          <cell r="T118">
            <v>23916375.75</v>
          </cell>
          <cell r="U118">
            <v>20298046.9</v>
          </cell>
          <cell r="V118">
            <v>20156595.71</v>
          </cell>
        </row>
        <row r="119">
          <cell r="A119" t="str">
            <v>Sreepur</v>
          </cell>
          <cell r="B119">
            <v>417465.47</v>
          </cell>
          <cell r="C119">
            <v>311145.96</v>
          </cell>
          <cell r="D119">
            <v>292680.27</v>
          </cell>
          <cell r="E119">
            <v>9885760.33</v>
          </cell>
          <cell r="F119">
            <v>8032715.68</v>
          </cell>
          <cell r="G119">
            <v>7906532.96</v>
          </cell>
          <cell r="H119">
            <v>16780131.54</v>
          </cell>
          <cell r="I119">
            <v>15289317.82</v>
          </cell>
          <cell r="J119">
            <v>15174445.07</v>
          </cell>
          <cell r="K119">
            <v>3506987.01</v>
          </cell>
          <cell r="L119">
            <v>3395328.21</v>
          </cell>
          <cell r="M119">
            <v>3233765.01</v>
          </cell>
          <cell r="N119">
            <v>2256717.89</v>
          </cell>
          <cell r="O119">
            <v>2257319.61</v>
          </cell>
          <cell r="P119">
            <v>2256717.89</v>
          </cell>
          <cell r="Q119">
            <v>3496915.83</v>
          </cell>
          <cell r="R119">
            <v>3560614.62</v>
          </cell>
          <cell r="S119">
            <v>3309967.42</v>
          </cell>
          <cell r="T119">
            <v>36343978.07</v>
          </cell>
          <cell r="U119">
            <v>32846441.9</v>
          </cell>
          <cell r="V119">
            <v>32174108.62</v>
          </cell>
        </row>
        <row r="120">
          <cell r="A120" t="str">
            <v>Swarupkathi</v>
          </cell>
          <cell r="B120">
            <v>6282505.11</v>
          </cell>
          <cell r="C120">
            <v>3042060.47</v>
          </cell>
          <cell r="D120">
            <v>2955459.27</v>
          </cell>
          <cell r="E120">
            <v>11549195.79</v>
          </cell>
          <cell r="F120">
            <v>6862551.36</v>
          </cell>
          <cell r="G120">
            <v>6751040.56</v>
          </cell>
          <cell r="H120">
            <v>7044851.88</v>
          </cell>
          <cell r="I120">
            <v>4777189.59</v>
          </cell>
          <cell r="J120">
            <v>4442257.16</v>
          </cell>
          <cell r="K120">
            <v>877410.77</v>
          </cell>
          <cell r="L120">
            <v>877743.96</v>
          </cell>
          <cell r="M120">
            <v>877410.77</v>
          </cell>
        </row>
        <row r="120">
          <cell r="T120">
            <v>25753963.55</v>
          </cell>
          <cell r="U120">
            <v>15559545.38</v>
          </cell>
          <cell r="V120">
            <v>15026167.76</v>
          </cell>
        </row>
        <row r="121">
          <cell r="A121" t="str">
            <v>Syedpur</v>
          </cell>
          <cell r="B121">
            <v>3149622.03</v>
          </cell>
          <cell r="C121">
            <v>2148945.72</v>
          </cell>
          <cell r="D121">
            <v>2145841.57</v>
          </cell>
          <cell r="E121">
            <v>8751597.8</v>
          </cell>
          <cell r="F121">
            <v>8355826.82</v>
          </cell>
          <cell r="G121">
            <v>8304950.48</v>
          </cell>
          <cell r="H121">
            <v>10795598.12</v>
          </cell>
          <cell r="I121">
            <v>9005204.42</v>
          </cell>
          <cell r="J121">
            <v>8987739.54</v>
          </cell>
          <cell r="K121">
            <v>2010023.75</v>
          </cell>
          <cell r="L121">
            <v>2000149.3</v>
          </cell>
          <cell r="M121">
            <v>1998809.57</v>
          </cell>
          <cell r="N121">
            <v>1864944.42</v>
          </cell>
          <cell r="O121">
            <v>1729766.6</v>
          </cell>
          <cell r="P121">
            <v>1729525.7</v>
          </cell>
          <cell r="Q121">
            <v>725519.31</v>
          </cell>
          <cell r="R121">
            <v>725519.31</v>
          </cell>
          <cell r="S121">
            <v>725519.31</v>
          </cell>
          <cell r="T121">
            <v>27297305.43</v>
          </cell>
          <cell r="U121">
            <v>23965412.17</v>
          </cell>
          <cell r="V121">
            <v>23892386.17</v>
          </cell>
        </row>
        <row r="122">
          <cell r="A122" t="str">
            <v>Tangail</v>
          </cell>
          <cell r="B122">
            <v>3375396.32</v>
          </cell>
          <cell r="C122">
            <v>2019703.4</v>
          </cell>
          <cell r="D122">
            <v>2016615.87</v>
          </cell>
          <cell r="E122">
            <v>15569104.05</v>
          </cell>
          <cell r="F122">
            <v>11592431.44</v>
          </cell>
          <cell r="G122">
            <v>11301950.34</v>
          </cell>
          <cell r="H122">
            <v>8389893.23</v>
          </cell>
          <cell r="I122">
            <v>6558183.71</v>
          </cell>
          <cell r="J122">
            <v>6420081.77</v>
          </cell>
          <cell r="K122">
            <v>2430042.21</v>
          </cell>
          <cell r="L122">
            <v>2637777.42</v>
          </cell>
          <cell r="M122">
            <v>2159685.51</v>
          </cell>
          <cell r="N122">
            <v>3215646.4</v>
          </cell>
          <cell r="O122">
            <v>3216731.41</v>
          </cell>
          <cell r="P122">
            <v>3215646.4</v>
          </cell>
          <cell r="Q122">
            <v>408676</v>
          </cell>
          <cell r="R122">
            <v>421075.15</v>
          </cell>
          <cell r="S122">
            <v>408676</v>
          </cell>
          <cell r="T122">
            <v>33388758.21</v>
          </cell>
          <cell r="U122">
            <v>26445902.53</v>
          </cell>
          <cell r="V122">
            <v>25522655.89</v>
          </cell>
        </row>
        <row r="123">
          <cell r="A123" t="str">
            <v>Thakurgaon</v>
          </cell>
          <cell r="B123">
            <v>2490867.08</v>
          </cell>
          <cell r="C123">
            <v>1333959.35</v>
          </cell>
          <cell r="D123">
            <v>1270909.69</v>
          </cell>
          <cell r="E123">
            <v>10242819.26</v>
          </cell>
          <cell r="F123">
            <v>6849705.07</v>
          </cell>
          <cell r="G123">
            <v>6825299.26</v>
          </cell>
          <cell r="H123">
            <v>10135410.78</v>
          </cell>
          <cell r="I123">
            <v>9134825.19</v>
          </cell>
          <cell r="J123">
            <v>9123329.41</v>
          </cell>
          <cell r="K123">
            <v>2377691.35</v>
          </cell>
          <cell r="L123">
            <v>2378316.74</v>
          </cell>
          <cell r="M123">
            <v>2377691.35</v>
          </cell>
          <cell r="N123">
            <v>3014994.47</v>
          </cell>
          <cell r="O123">
            <v>2302150.35</v>
          </cell>
          <cell r="P123">
            <v>2292745.58</v>
          </cell>
          <cell r="Q123">
            <v>2714700.42</v>
          </cell>
          <cell r="R123">
            <v>2761063.53</v>
          </cell>
          <cell r="S123">
            <v>2714700.42</v>
          </cell>
          <cell r="T123">
            <v>30976483.36</v>
          </cell>
          <cell r="U123">
            <v>24760020.23</v>
          </cell>
          <cell r="V123">
            <v>24604675.71</v>
          </cell>
        </row>
        <row r="124">
          <cell r="A124" t="str">
            <v>Tongi</v>
          </cell>
          <cell r="B124">
            <v>1548741.58</v>
          </cell>
          <cell r="C124">
            <v>601393.82</v>
          </cell>
          <cell r="D124">
            <v>600354.46</v>
          </cell>
          <cell r="E124">
            <v>14705740.76</v>
          </cell>
          <cell r="F124">
            <v>7765776.98</v>
          </cell>
          <cell r="G124">
            <v>7306668.25</v>
          </cell>
          <cell r="H124">
            <v>18443583.52</v>
          </cell>
          <cell r="I124">
            <v>13796926.04</v>
          </cell>
          <cell r="J124">
            <v>12470663.25</v>
          </cell>
          <cell r="K124">
            <v>2367185.44</v>
          </cell>
          <cell r="L124">
            <v>2889026.44</v>
          </cell>
          <cell r="M124">
            <v>2367185.44</v>
          </cell>
          <cell r="N124">
            <v>1149655.03</v>
          </cell>
          <cell r="O124">
            <v>1151378.2</v>
          </cell>
          <cell r="P124">
            <v>1149655.03</v>
          </cell>
          <cell r="Q124">
            <v>3178934.72</v>
          </cell>
          <cell r="R124">
            <v>3179247.85</v>
          </cell>
          <cell r="S124">
            <v>3178934.72</v>
          </cell>
          <cell r="T124">
            <v>41393841.05</v>
          </cell>
          <cell r="U124">
            <v>29383749.33</v>
          </cell>
          <cell r="V124">
            <v>27073461.15</v>
          </cell>
        </row>
        <row r="125">
          <cell r="A125" t="str">
            <v>Zinzira</v>
          </cell>
          <cell r="B125">
            <v>5714995.48</v>
          </cell>
          <cell r="C125">
            <v>2434523.02</v>
          </cell>
          <cell r="D125">
            <v>2433239.56</v>
          </cell>
          <cell r="E125">
            <v>26102368.72</v>
          </cell>
          <cell r="F125">
            <v>12061370.22</v>
          </cell>
          <cell r="G125">
            <v>11241457.56</v>
          </cell>
          <cell r="H125">
            <v>12428229.85</v>
          </cell>
          <cell r="I125">
            <v>10072350.23</v>
          </cell>
          <cell r="J125">
            <v>9627923.64</v>
          </cell>
          <cell r="K125">
            <v>3213073.55</v>
          </cell>
          <cell r="L125">
            <v>3209717.72</v>
          </cell>
          <cell r="M125">
            <v>3207307.58</v>
          </cell>
          <cell r="N125">
            <v>8477129.47</v>
          </cell>
          <cell r="O125">
            <v>1943030.18</v>
          </cell>
          <cell r="P125">
            <v>1941757.85</v>
          </cell>
          <cell r="Q125">
            <v>1345042.95</v>
          </cell>
          <cell r="R125">
            <v>1345042.95</v>
          </cell>
          <cell r="S125">
            <v>1345042.95</v>
          </cell>
          <cell r="T125">
            <v>57280840.02</v>
          </cell>
          <cell r="U125">
            <v>31066034.32</v>
          </cell>
          <cell r="V125">
            <v>29796729.14</v>
          </cell>
        </row>
        <row r="126">
          <cell r="A126" t="str">
            <v>Zurain</v>
          </cell>
        </row>
        <row r="126">
          <cell r="E126">
            <v>283399.36</v>
          </cell>
        </row>
        <row r="126">
          <cell r="G126">
            <v>0</v>
          </cell>
          <cell r="H126">
            <v>303605.58</v>
          </cell>
        </row>
        <row r="126">
          <cell r="J126">
            <v>0</v>
          </cell>
        </row>
        <row r="126">
          <cell r="T126">
            <v>587004.94</v>
          </cell>
        </row>
        <row r="126">
          <cell r="V126">
            <v>0</v>
          </cell>
        </row>
        <row r="127">
          <cell r="A127" t="str">
            <v>Grand Total</v>
          </cell>
          <cell r="B127">
            <v>363400229.26</v>
          </cell>
          <cell r="C127">
            <v>247559021.77</v>
          </cell>
          <cell r="D127">
            <v>241679394.71</v>
          </cell>
          <cell r="E127">
            <v>1694790392.85</v>
          </cell>
          <cell r="F127">
            <v>1226829484.22</v>
          </cell>
          <cell r="G127">
            <v>1192659072.69</v>
          </cell>
          <cell r="H127">
            <v>1513556568.53</v>
          </cell>
          <cell r="I127">
            <v>1112696547</v>
          </cell>
          <cell r="J127">
            <v>1071886699.86</v>
          </cell>
          <cell r="K127">
            <v>406250505.91</v>
          </cell>
          <cell r="L127">
            <v>327196524.06</v>
          </cell>
          <cell r="M127">
            <v>317872481.88</v>
          </cell>
          <cell r="N127">
            <v>320311643.54</v>
          </cell>
          <cell r="O127">
            <v>270636854.92</v>
          </cell>
          <cell r="P127">
            <v>262335672.61</v>
          </cell>
          <cell r="Q127">
            <v>294889909.55</v>
          </cell>
          <cell r="R127">
            <v>227479730.26</v>
          </cell>
          <cell r="S127">
            <v>207875942.21</v>
          </cell>
          <cell r="T127">
            <v>4593199249.64</v>
          </cell>
          <cell r="U127">
            <v>3412398162.23</v>
          </cell>
          <cell r="V127">
            <v>3294309263.96</v>
          </cell>
        </row>
      </sheetData>
      <sheetData sheetId="15"/>
      <sheetData sheetId="16"/>
      <sheetData sheetId="17">
        <row r="5">
          <cell r="A5" t="str">
            <v>Agailjhara</v>
          </cell>
          <cell r="B5">
            <v>1949719.24</v>
          </cell>
          <cell r="C5">
            <v>2128548.58</v>
          </cell>
          <cell r="D5">
            <v>2238592.06</v>
          </cell>
        </row>
        <row r="5">
          <cell r="H5">
            <v>6316859.88</v>
          </cell>
        </row>
        <row r="6">
          <cell r="A6" t="str">
            <v>Ambarkhana</v>
          </cell>
          <cell r="B6">
            <v>1924468.95</v>
          </cell>
        </row>
        <row r="6">
          <cell r="H6">
            <v>1924468.95</v>
          </cell>
        </row>
        <row r="7">
          <cell r="A7" t="str">
            <v>Anderkilla</v>
          </cell>
          <cell r="B7">
            <v>797104.31</v>
          </cell>
          <cell r="C7">
            <v>12983175.54</v>
          </cell>
          <cell r="D7">
            <v>12984213.69</v>
          </cell>
        </row>
        <row r="7">
          <cell r="H7">
            <v>26764493.54</v>
          </cell>
        </row>
        <row r="8">
          <cell r="A8" t="str">
            <v>Ashulia</v>
          </cell>
          <cell r="B8">
            <v>307132.5</v>
          </cell>
          <cell r="C8">
            <v>2444085.7</v>
          </cell>
          <cell r="D8">
            <v>2666977.75</v>
          </cell>
        </row>
        <row r="8">
          <cell r="H8">
            <v>5418195.95</v>
          </cell>
        </row>
        <row r="9">
          <cell r="A9" t="str">
            <v>Badda</v>
          </cell>
        </row>
        <row r="9">
          <cell r="C9">
            <v>2364939.79</v>
          </cell>
          <cell r="D9">
            <v>2289122.64</v>
          </cell>
        </row>
        <row r="9">
          <cell r="G9">
            <v>8059527.38</v>
          </cell>
          <cell r="H9">
            <v>12713589.81</v>
          </cell>
        </row>
        <row r="10">
          <cell r="A10" t="str">
            <v>Bagerhat</v>
          </cell>
          <cell r="B10">
            <v>791989.85</v>
          </cell>
          <cell r="C10">
            <v>1710909.31</v>
          </cell>
        </row>
        <row r="10">
          <cell r="H10">
            <v>2502899.16</v>
          </cell>
        </row>
        <row r="11">
          <cell r="A11" t="str">
            <v>Baligaon</v>
          </cell>
          <cell r="B11">
            <v>65661.64</v>
          </cell>
          <cell r="C11">
            <v>1527593.41</v>
          </cell>
        </row>
        <row r="11">
          <cell r="H11">
            <v>1593255.05</v>
          </cell>
        </row>
        <row r="12">
          <cell r="A12" t="str">
            <v>Banasree</v>
          </cell>
          <cell r="B12">
            <v>261854.09</v>
          </cell>
          <cell r="C12">
            <v>3892263.08</v>
          </cell>
          <cell r="D12">
            <v>2082309.87</v>
          </cell>
          <cell r="E12">
            <v>5231850.17</v>
          </cell>
        </row>
        <row r="12">
          <cell r="H12">
            <v>11468277.21</v>
          </cell>
        </row>
        <row r="13">
          <cell r="A13" t="str">
            <v>Bancharampur</v>
          </cell>
          <cell r="B13">
            <v>75202.49</v>
          </cell>
          <cell r="C13">
            <v>3143399.32</v>
          </cell>
        </row>
        <row r="13">
          <cell r="H13">
            <v>3218601.81</v>
          </cell>
        </row>
        <row r="14">
          <cell r="A14" t="str">
            <v>Bandartila </v>
          </cell>
          <cell r="B14">
            <v>1003731.66</v>
          </cell>
          <cell r="C14">
            <v>2400445.66</v>
          </cell>
          <cell r="D14">
            <v>4326710.99</v>
          </cell>
          <cell r="E14">
            <v>4419064.45</v>
          </cell>
          <cell r="F14">
            <v>6809828.29</v>
          </cell>
        </row>
        <row r="14">
          <cell r="H14">
            <v>18959781.05</v>
          </cell>
        </row>
        <row r="15">
          <cell r="A15" t="str">
            <v>Barguna</v>
          </cell>
          <cell r="B15">
            <v>1808821.57</v>
          </cell>
          <cell r="C15">
            <v>4450567</v>
          </cell>
        </row>
        <row r="15">
          <cell r="H15">
            <v>6259388.57</v>
          </cell>
        </row>
        <row r="16">
          <cell r="A16" t="str">
            <v>Barishal</v>
          </cell>
          <cell r="B16">
            <v>655208.25</v>
          </cell>
          <cell r="C16">
            <v>5401413.51</v>
          </cell>
          <cell r="D16">
            <v>5401474.82</v>
          </cell>
        </row>
        <row r="16">
          <cell r="H16">
            <v>11458096.58</v>
          </cell>
        </row>
        <row r="17">
          <cell r="A17" t="str">
            <v>Bhanga</v>
          </cell>
          <cell r="B17">
            <v>1869566.52</v>
          </cell>
          <cell r="C17">
            <v>3361076.48</v>
          </cell>
          <cell r="D17">
            <v>835372.26</v>
          </cell>
        </row>
        <row r="17">
          <cell r="H17">
            <v>6066015.26</v>
          </cell>
        </row>
        <row r="18">
          <cell r="A18" t="str">
            <v>Bharaib</v>
          </cell>
          <cell r="B18">
            <v>522923.41</v>
          </cell>
          <cell r="C18">
            <v>3285676.93</v>
          </cell>
        </row>
        <row r="18">
          <cell r="H18">
            <v>3808600.34</v>
          </cell>
        </row>
        <row r="19">
          <cell r="A19" t="str">
            <v>Bheramara</v>
          </cell>
          <cell r="B19">
            <v>2220455.8</v>
          </cell>
          <cell r="C19">
            <v>2228773.1</v>
          </cell>
          <cell r="D19">
            <v>3902170.39</v>
          </cell>
        </row>
        <row r="19">
          <cell r="H19">
            <v>8351399.29</v>
          </cell>
        </row>
        <row r="20">
          <cell r="A20" t="str">
            <v>Bhola</v>
          </cell>
          <cell r="B20">
            <v>1205621.58</v>
          </cell>
          <cell r="C20">
            <v>1127399.15</v>
          </cell>
          <cell r="D20">
            <v>463011.64</v>
          </cell>
        </row>
        <row r="20">
          <cell r="H20">
            <v>2796032.37</v>
          </cell>
        </row>
        <row r="21">
          <cell r="A21" t="str">
            <v>Bhulta</v>
          </cell>
        </row>
        <row r="21">
          <cell r="C21">
            <v>812961.88</v>
          </cell>
          <cell r="D21">
            <v>2865312.03</v>
          </cell>
        </row>
        <row r="21">
          <cell r="H21">
            <v>3678273.91</v>
          </cell>
        </row>
        <row r="22">
          <cell r="A22" t="str">
            <v>Bogura</v>
          </cell>
          <cell r="B22">
            <v>13688.23</v>
          </cell>
          <cell r="C22">
            <v>6266428.8</v>
          </cell>
          <cell r="D22">
            <v>2860582.52</v>
          </cell>
        </row>
        <row r="22">
          <cell r="H22">
            <v>9140699.55</v>
          </cell>
        </row>
        <row r="23">
          <cell r="A23" t="str">
            <v>Brahmanbaria</v>
          </cell>
          <cell r="B23">
            <v>265125.76</v>
          </cell>
          <cell r="C23">
            <v>5384259.53</v>
          </cell>
          <cell r="D23">
            <v>3359534.53</v>
          </cell>
        </row>
        <row r="23">
          <cell r="H23">
            <v>9008919.82</v>
          </cell>
        </row>
        <row r="24">
          <cell r="A24" t="str">
            <v>C. Nawabganj</v>
          </cell>
          <cell r="B24">
            <v>332835.03</v>
          </cell>
          <cell r="C24">
            <v>1152489.71</v>
          </cell>
          <cell r="D24">
            <v>3373516.19</v>
          </cell>
        </row>
        <row r="24">
          <cell r="H24">
            <v>4858840.93</v>
          </cell>
        </row>
        <row r="25">
          <cell r="A25" t="str">
            <v>Chandina</v>
          </cell>
          <cell r="B25">
            <v>2269370.36</v>
          </cell>
          <cell r="C25">
            <v>1629935.35</v>
          </cell>
          <cell r="D25">
            <v>919091.3</v>
          </cell>
        </row>
        <row r="25">
          <cell r="H25">
            <v>4818397.01</v>
          </cell>
        </row>
        <row r="26">
          <cell r="A26" t="str">
            <v>Chauddagram</v>
          </cell>
          <cell r="B26">
            <v>2390137.09</v>
          </cell>
          <cell r="C26">
            <v>1769197.98</v>
          </cell>
          <cell r="D26">
            <v>931679.72</v>
          </cell>
        </row>
        <row r="26">
          <cell r="F26">
            <v>4119121.05</v>
          </cell>
        </row>
        <row r="26">
          <cell r="H26">
            <v>9210135.84</v>
          </cell>
        </row>
        <row r="27">
          <cell r="A27" t="str">
            <v>Chawk Bazar</v>
          </cell>
          <cell r="B27">
            <v>852086.38</v>
          </cell>
          <cell r="C27">
            <v>9378538.19</v>
          </cell>
          <cell r="D27">
            <v>10496418.59</v>
          </cell>
          <cell r="E27">
            <v>3783147.89</v>
          </cell>
          <cell r="F27">
            <v>9220481.68</v>
          </cell>
        </row>
        <row r="27">
          <cell r="H27">
            <v>33730672.73</v>
          </cell>
        </row>
        <row r="28">
          <cell r="A28" t="str">
            <v>Choumohoni</v>
          </cell>
          <cell r="B28">
            <v>838734.28</v>
          </cell>
          <cell r="C28">
            <v>5374122.12</v>
          </cell>
          <cell r="D28">
            <v>4572076.96</v>
          </cell>
        </row>
        <row r="28">
          <cell r="H28">
            <v>10784933.36</v>
          </cell>
        </row>
        <row r="29">
          <cell r="A29" t="str">
            <v>Chuadanga</v>
          </cell>
          <cell r="B29">
            <v>635150.73</v>
          </cell>
          <cell r="C29">
            <v>202404.47</v>
          </cell>
          <cell r="D29">
            <v>3625162.51</v>
          </cell>
        </row>
        <row r="29">
          <cell r="H29">
            <v>4462717.71</v>
          </cell>
        </row>
        <row r="30">
          <cell r="A30" t="str">
            <v>Comilla East</v>
          </cell>
          <cell r="B30">
            <v>1650043.7</v>
          </cell>
          <cell r="C30">
            <v>5587591.88</v>
          </cell>
          <cell r="D30">
            <v>464361.13</v>
          </cell>
        </row>
        <row r="30">
          <cell r="H30">
            <v>7701996.71</v>
          </cell>
        </row>
        <row r="31">
          <cell r="A31" t="str">
            <v>Comilla West</v>
          </cell>
          <cell r="B31">
            <v>1234251.98</v>
          </cell>
          <cell r="C31">
            <v>2936979.37</v>
          </cell>
          <cell r="D31">
            <v>2665562.09</v>
          </cell>
        </row>
        <row r="31">
          <cell r="H31">
            <v>6836793.44</v>
          </cell>
        </row>
        <row r="32">
          <cell r="A32" t="str">
            <v>Companygonj</v>
          </cell>
          <cell r="B32">
            <v>291377.32</v>
          </cell>
          <cell r="C32">
            <v>1969667.23</v>
          </cell>
        </row>
        <row r="32">
          <cell r="H32">
            <v>2261044.55</v>
          </cell>
        </row>
        <row r="33">
          <cell r="A33" t="str">
            <v>Daulatpur</v>
          </cell>
        </row>
        <row r="33">
          <cell r="C33">
            <v>4025573.14</v>
          </cell>
          <cell r="D33">
            <v>2132271.82</v>
          </cell>
        </row>
        <row r="33">
          <cell r="H33">
            <v>6157844.96</v>
          </cell>
        </row>
        <row r="34">
          <cell r="A34" t="str">
            <v>DEPZ</v>
          </cell>
        </row>
        <row r="34">
          <cell r="C34">
            <v>1170507.81</v>
          </cell>
          <cell r="D34">
            <v>6059000.39</v>
          </cell>
        </row>
        <row r="34">
          <cell r="H34">
            <v>7229508.2</v>
          </cell>
        </row>
        <row r="35">
          <cell r="A35" t="str">
            <v>Dhamrai</v>
          </cell>
          <cell r="B35">
            <v>17464.89</v>
          </cell>
          <cell r="C35">
            <v>4890350.29</v>
          </cell>
          <cell r="D35">
            <v>2484717.57</v>
          </cell>
        </row>
        <row r="35">
          <cell r="H35">
            <v>7392532.75</v>
          </cell>
        </row>
        <row r="36">
          <cell r="A36" t="str">
            <v>Dinajpur</v>
          </cell>
          <cell r="B36">
            <v>55350.73</v>
          </cell>
          <cell r="C36">
            <v>2220682.32</v>
          </cell>
          <cell r="D36">
            <v>3591360.84</v>
          </cell>
          <cell r="E36">
            <v>2877802.72</v>
          </cell>
        </row>
        <row r="36">
          <cell r="H36">
            <v>8745196.61</v>
          </cell>
        </row>
        <row r="37">
          <cell r="A37" t="str">
            <v>Elephant Road</v>
          </cell>
          <cell r="B37">
            <v>666108.08</v>
          </cell>
          <cell r="C37">
            <v>6488535.3</v>
          </cell>
          <cell r="D37">
            <v>1378667.04</v>
          </cell>
          <cell r="E37">
            <v>4425284.25</v>
          </cell>
        </row>
        <row r="37">
          <cell r="H37">
            <v>12958594.67</v>
          </cell>
        </row>
        <row r="38">
          <cell r="A38" t="str">
            <v>Faridpur</v>
          </cell>
          <cell r="B38">
            <v>756146.93</v>
          </cell>
          <cell r="C38">
            <v>4615496.31</v>
          </cell>
          <cell r="D38">
            <v>2554892.96</v>
          </cell>
        </row>
        <row r="38">
          <cell r="H38">
            <v>7926536.2</v>
          </cell>
        </row>
        <row r="39">
          <cell r="A39" t="str">
            <v>Fatullah</v>
          </cell>
        </row>
        <row r="39">
          <cell r="C39">
            <v>1118756.31</v>
          </cell>
        </row>
        <row r="39">
          <cell r="H39">
            <v>1118756.31</v>
          </cell>
        </row>
        <row r="40">
          <cell r="A40" t="str">
            <v>Feni</v>
          </cell>
          <cell r="B40">
            <v>242467.28</v>
          </cell>
          <cell r="C40">
            <v>860769.8</v>
          </cell>
          <cell r="D40">
            <v>1979661.82</v>
          </cell>
        </row>
        <row r="40">
          <cell r="H40">
            <v>3082898.9</v>
          </cell>
        </row>
        <row r="41">
          <cell r="A41" t="str">
            <v>Fulbari</v>
          </cell>
          <cell r="B41">
            <v>330695.31</v>
          </cell>
        </row>
        <row r="41">
          <cell r="H41">
            <v>330695.31</v>
          </cell>
        </row>
        <row r="42">
          <cell r="A42" t="str">
            <v>Gaibandha</v>
          </cell>
          <cell r="B42">
            <v>297271.96</v>
          </cell>
          <cell r="C42">
            <v>1548276.2</v>
          </cell>
        </row>
        <row r="42">
          <cell r="H42">
            <v>1845548.16</v>
          </cell>
        </row>
        <row r="43">
          <cell r="A43" t="str">
            <v>Gazipur</v>
          </cell>
          <cell r="B43">
            <v>81351.24</v>
          </cell>
          <cell r="C43">
            <v>4906186.61</v>
          </cell>
          <cell r="D43">
            <v>2424762.79</v>
          </cell>
        </row>
        <row r="43">
          <cell r="H43">
            <v>7412300.64</v>
          </cell>
        </row>
        <row r="44">
          <cell r="A44" t="str">
            <v>Ghatail</v>
          </cell>
        </row>
        <row r="44">
          <cell r="C44">
            <v>559373.11</v>
          </cell>
        </row>
        <row r="44">
          <cell r="H44">
            <v>559373.11</v>
          </cell>
        </row>
        <row r="45">
          <cell r="A45" t="str">
            <v>Gopalgonj</v>
          </cell>
          <cell r="B45">
            <v>1811063.09</v>
          </cell>
          <cell r="C45">
            <v>4029395.22</v>
          </cell>
          <cell r="D45">
            <v>4410971.46</v>
          </cell>
        </row>
        <row r="45">
          <cell r="G45">
            <v>34913995.83</v>
          </cell>
          <cell r="H45">
            <v>45165425.6</v>
          </cell>
        </row>
        <row r="46">
          <cell r="A46" t="str">
            <v>Gulistan</v>
          </cell>
        </row>
        <row r="46">
          <cell r="C46">
            <v>576065.07</v>
          </cell>
          <cell r="D46">
            <v>111567.57</v>
          </cell>
          <cell r="E46">
            <v>2452452.21</v>
          </cell>
        </row>
        <row r="46">
          <cell r="H46">
            <v>3140084.85</v>
          </cell>
        </row>
        <row r="47">
          <cell r="A47" t="str">
            <v>Halishahar</v>
          </cell>
        </row>
        <row r="47">
          <cell r="C47">
            <v>780363.95</v>
          </cell>
          <cell r="D47">
            <v>1557103.45</v>
          </cell>
        </row>
        <row r="47">
          <cell r="H47">
            <v>2337467.4</v>
          </cell>
        </row>
        <row r="48">
          <cell r="A48" t="str">
            <v>Hasnabad</v>
          </cell>
          <cell r="B48">
            <v>1135557.88</v>
          </cell>
          <cell r="C48">
            <v>3148246.88</v>
          </cell>
          <cell r="D48">
            <v>4575210.68</v>
          </cell>
        </row>
        <row r="48">
          <cell r="F48">
            <v>2255552.57</v>
          </cell>
        </row>
        <row r="48">
          <cell r="H48">
            <v>11114568.01</v>
          </cell>
        </row>
        <row r="49">
          <cell r="A49" t="str">
            <v>Hathazari</v>
          </cell>
          <cell r="B49">
            <v>602659.85</v>
          </cell>
          <cell r="C49">
            <v>2565227.78</v>
          </cell>
          <cell r="D49">
            <v>6361907.29</v>
          </cell>
          <cell r="E49">
            <v>1468685.95</v>
          </cell>
        </row>
        <row r="49">
          <cell r="H49">
            <v>10998480.87</v>
          </cell>
        </row>
        <row r="50">
          <cell r="A50" t="str">
            <v>Hazigonj</v>
          </cell>
          <cell r="B50">
            <v>636235</v>
          </cell>
          <cell r="C50">
            <v>3783014.39</v>
          </cell>
          <cell r="D50">
            <v>4577559.22</v>
          </cell>
          <cell r="E50">
            <v>3845266.5</v>
          </cell>
        </row>
        <row r="50">
          <cell r="H50">
            <v>12842075.11</v>
          </cell>
        </row>
        <row r="51">
          <cell r="A51" t="str">
            <v>Hobigonj</v>
          </cell>
          <cell r="B51">
            <v>578012.55</v>
          </cell>
          <cell r="C51">
            <v>1326635.45</v>
          </cell>
        </row>
        <row r="51">
          <cell r="H51">
            <v>1904648</v>
          </cell>
        </row>
        <row r="52">
          <cell r="A52" t="str">
            <v>Imamgonj</v>
          </cell>
          <cell r="B52">
            <v>708510.67</v>
          </cell>
          <cell r="C52">
            <v>867981.76</v>
          </cell>
        </row>
        <row r="52">
          <cell r="H52">
            <v>1576492.43</v>
          </cell>
        </row>
        <row r="53">
          <cell r="A53" t="str">
            <v>Ishwardi</v>
          </cell>
          <cell r="B53">
            <v>534087.68</v>
          </cell>
          <cell r="C53">
            <v>5531431.23</v>
          </cell>
          <cell r="D53">
            <v>4492915.09</v>
          </cell>
        </row>
        <row r="53">
          <cell r="G53">
            <v>12789704.92</v>
          </cell>
          <cell r="H53">
            <v>23348138.92</v>
          </cell>
        </row>
        <row r="54">
          <cell r="A54" t="str">
            <v>Islambagh</v>
          </cell>
        </row>
        <row r="54">
          <cell r="C54">
            <v>2281102.21</v>
          </cell>
          <cell r="D54">
            <v>549628.7</v>
          </cell>
        </row>
        <row r="54">
          <cell r="H54">
            <v>2830730.91</v>
          </cell>
        </row>
        <row r="55">
          <cell r="A55" t="str">
            <v>Islampur Road</v>
          </cell>
        </row>
        <row r="55">
          <cell r="C55">
            <v>3141425.64</v>
          </cell>
          <cell r="D55">
            <v>10104294.21</v>
          </cell>
          <cell r="E55">
            <v>1983999.97</v>
          </cell>
        </row>
        <row r="55">
          <cell r="H55">
            <v>15229719.82</v>
          </cell>
        </row>
        <row r="56">
          <cell r="A56" t="str">
            <v>Jatrabari</v>
          </cell>
          <cell r="B56">
            <v>1518608.82</v>
          </cell>
          <cell r="C56">
            <v>4984428.1</v>
          </cell>
          <cell r="D56">
            <v>2307707.96</v>
          </cell>
        </row>
        <row r="56">
          <cell r="H56">
            <v>8810744.88</v>
          </cell>
        </row>
        <row r="57">
          <cell r="A57" t="str">
            <v>Jessore</v>
          </cell>
          <cell r="B57">
            <v>467044.58</v>
          </cell>
          <cell r="C57">
            <v>4901324.15</v>
          </cell>
          <cell r="D57">
            <v>5374679.79</v>
          </cell>
        </row>
        <row r="57">
          <cell r="H57">
            <v>10743048.52</v>
          </cell>
        </row>
        <row r="58">
          <cell r="A58" t="str">
            <v>Jhenaidah</v>
          </cell>
          <cell r="B58">
            <v>473106.7</v>
          </cell>
          <cell r="C58">
            <v>1947525.24</v>
          </cell>
        </row>
        <row r="58">
          <cell r="H58">
            <v>2420631.94</v>
          </cell>
        </row>
        <row r="59">
          <cell r="A59" t="str">
            <v>Jikorgacha</v>
          </cell>
          <cell r="B59">
            <v>377944.37</v>
          </cell>
          <cell r="C59">
            <v>2742085.24</v>
          </cell>
          <cell r="D59">
            <v>1636047.29</v>
          </cell>
        </row>
        <row r="59">
          <cell r="H59">
            <v>4756076.9</v>
          </cell>
        </row>
        <row r="60">
          <cell r="A60" t="str">
            <v>Joydebpur</v>
          </cell>
        </row>
        <row r="60">
          <cell r="C60">
            <v>3181590.67</v>
          </cell>
          <cell r="D60">
            <v>4820575.1</v>
          </cell>
        </row>
        <row r="60">
          <cell r="H60">
            <v>8002165.77</v>
          </cell>
        </row>
        <row r="61">
          <cell r="A61" t="str">
            <v>Joypurhat</v>
          </cell>
          <cell r="B61">
            <v>97109.37</v>
          </cell>
          <cell r="C61">
            <v>1784363.09</v>
          </cell>
          <cell r="D61">
            <v>3772943.75</v>
          </cell>
        </row>
        <row r="61">
          <cell r="G61">
            <v>16237808.51</v>
          </cell>
          <cell r="H61">
            <v>21892224.72</v>
          </cell>
        </row>
        <row r="62">
          <cell r="A62" t="str">
            <v>Kadamtali</v>
          </cell>
          <cell r="B62">
            <v>740981.15</v>
          </cell>
          <cell r="C62">
            <v>10865174.88</v>
          </cell>
          <cell r="D62">
            <v>7715531.6</v>
          </cell>
        </row>
        <row r="62">
          <cell r="H62">
            <v>19321687.63</v>
          </cell>
        </row>
        <row r="63">
          <cell r="A63" t="str">
            <v>Kalurghat</v>
          </cell>
          <cell r="B63">
            <v>567247.36</v>
          </cell>
          <cell r="C63">
            <v>3063601.06</v>
          </cell>
          <cell r="D63">
            <v>5420666.51</v>
          </cell>
        </row>
        <row r="63">
          <cell r="H63">
            <v>9051514.93</v>
          </cell>
        </row>
        <row r="64">
          <cell r="A64" t="str">
            <v>Kamrangirchar</v>
          </cell>
          <cell r="B64">
            <v>636331.24</v>
          </cell>
          <cell r="C64">
            <v>3028870.89</v>
          </cell>
        </row>
        <row r="64">
          <cell r="H64">
            <v>3665202.13</v>
          </cell>
        </row>
        <row r="65">
          <cell r="A65" t="str">
            <v>Kazipara</v>
          </cell>
          <cell r="B65">
            <v>582812.72</v>
          </cell>
          <cell r="C65">
            <v>816629.67</v>
          </cell>
        </row>
        <row r="65">
          <cell r="H65">
            <v>1399442.39</v>
          </cell>
        </row>
        <row r="66">
          <cell r="A66" t="str">
            <v>Keranigonj</v>
          </cell>
          <cell r="B66">
            <v>526220.73</v>
          </cell>
          <cell r="C66">
            <v>2913275.89</v>
          </cell>
          <cell r="D66">
            <v>2423916.93</v>
          </cell>
        </row>
        <row r="66">
          <cell r="H66">
            <v>5863413.55</v>
          </cell>
        </row>
        <row r="67">
          <cell r="A67" t="str">
            <v>Keshobpur</v>
          </cell>
          <cell r="B67">
            <v>807593.27</v>
          </cell>
          <cell r="C67">
            <v>2682605.13</v>
          </cell>
          <cell r="D67">
            <v>2911013.33</v>
          </cell>
        </row>
        <row r="67">
          <cell r="H67">
            <v>6401211.73</v>
          </cell>
        </row>
        <row r="68">
          <cell r="A68" t="str">
            <v>Khatungonj</v>
          </cell>
          <cell r="B68">
            <v>187158.41</v>
          </cell>
          <cell r="C68">
            <v>4163021.49</v>
          </cell>
          <cell r="D68">
            <v>3500909.98</v>
          </cell>
        </row>
        <row r="68">
          <cell r="H68">
            <v>7851089.88</v>
          </cell>
        </row>
        <row r="69">
          <cell r="A69" t="str">
            <v>Khulna</v>
          </cell>
          <cell r="B69">
            <v>1926634.88</v>
          </cell>
          <cell r="C69">
            <v>1018206.48</v>
          </cell>
          <cell r="D69">
            <v>5274876.42</v>
          </cell>
        </row>
        <row r="69">
          <cell r="H69">
            <v>8219717.78</v>
          </cell>
        </row>
        <row r="70">
          <cell r="A70" t="str">
            <v>Konabari</v>
          </cell>
          <cell r="B70">
            <v>1289470.67</v>
          </cell>
          <cell r="C70">
            <v>2314783.37</v>
          </cell>
        </row>
        <row r="70">
          <cell r="H70">
            <v>3604254.04</v>
          </cell>
        </row>
        <row r="71">
          <cell r="A71" t="str">
            <v>Kosba</v>
          </cell>
          <cell r="B71">
            <v>391717.18</v>
          </cell>
          <cell r="C71">
            <v>825452.74</v>
          </cell>
        </row>
        <row r="71">
          <cell r="H71">
            <v>1217169.92</v>
          </cell>
        </row>
        <row r="72">
          <cell r="A72" t="str">
            <v>Kotiadi</v>
          </cell>
          <cell r="B72">
            <v>905088.51</v>
          </cell>
          <cell r="C72">
            <v>1618079.94</v>
          </cell>
        </row>
        <row r="72">
          <cell r="H72">
            <v>2523168.45</v>
          </cell>
        </row>
        <row r="73">
          <cell r="A73" t="str">
            <v>Kurigram</v>
          </cell>
          <cell r="B73">
            <v>2868560.7</v>
          </cell>
          <cell r="C73">
            <v>1816930.13</v>
          </cell>
        </row>
        <row r="73">
          <cell r="F73">
            <v>253168.1</v>
          </cell>
        </row>
        <row r="73">
          <cell r="H73">
            <v>4938658.93</v>
          </cell>
        </row>
        <row r="74">
          <cell r="A74" t="str">
            <v>Kushtia</v>
          </cell>
          <cell r="B74">
            <v>3339052.98</v>
          </cell>
          <cell r="C74">
            <v>5742304.82</v>
          </cell>
          <cell r="D74">
            <v>3857973.18</v>
          </cell>
        </row>
        <row r="74">
          <cell r="H74">
            <v>12939330.98</v>
          </cell>
        </row>
        <row r="75">
          <cell r="A75" t="str">
            <v>Laksham</v>
          </cell>
          <cell r="B75">
            <v>982489.28</v>
          </cell>
          <cell r="C75">
            <v>4280044.75</v>
          </cell>
          <cell r="D75">
            <v>2315436.2</v>
          </cell>
        </row>
        <row r="75">
          <cell r="H75">
            <v>7577970.23</v>
          </cell>
        </row>
        <row r="76">
          <cell r="A76" t="str">
            <v>Laxmipur</v>
          </cell>
          <cell r="B76">
            <v>670590.65</v>
          </cell>
          <cell r="C76">
            <v>3280165.33</v>
          </cell>
          <cell r="D76">
            <v>304801.84</v>
          </cell>
        </row>
        <row r="76">
          <cell r="H76">
            <v>4255557.82</v>
          </cell>
        </row>
        <row r="77">
          <cell r="A77" t="str">
            <v>Lohagora, CTG</v>
          </cell>
          <cell r="B77">
            <v>792583.16</v>
          </cell>
          <cell r="C77">
            <v>1477526.49</v>
          </cell>
        </row>
        <row r="77">
          <cell r="H77">
            <v>2270109.65</v>
          </cell>
        </row>
        <row r="78">
          <cell r="A78" t="str">
            <v>Madhabpur</v>
          </cell>
          <cell r="B78">
            <v>1097197.78</v>
          </cell>
          <cell r="C78">
            <v>45133.34</v>
          </cell>
        </row>
        <row r="78">
          <cell r="H78">
            <v>1142331.12</v>
          </cell>
        </row>
        <row r="79">
          <cell r="A79" t="str">
            <v>Magura</v>
          </cell>
          <cell r="B79">
            <v>1195341.21</v>
          </cell>
          <cell r="C79">
            <v>1520726.14</v>
          </cell>
          <cell r="D79">
            <v>25469.37</v>
          </cell>
        </row>
        <row r="79">
          <cell r="H79">
            <v>2741536.72</v>
          </cell>
        </row>
        <row r="80">
          <cell r="A80" t="str">
            <v>Maijdee</v>
          </cell>
          <cell r="B80">
            <v>1460591.24</v>
          </cell>
          <cell r="C80">
            <v>4482523.93</v>
          </cell>
          <cell r="D80">
            <v>3400291.28</v>
          </cell>
        </row>
        <row r="80">
          <cell r="H80">
            <v>9343406.45</v>
          </cell>
        </row>
        <row r="81">
          <cell r="A81" t="str">
            <v>Manikgonj</v>
          </cell>
        </row>
        <row r="81">
          <cell r="C81">
            <v>1626429.97</v>
          </cell>
        </row>
        <row r="81">
          <cell r="H81">
            <v>1626429.97</v>
          </cell>
        </row>
        <row r="82">
          <cell r="A82" t="str">
            <v>Mirpur</v>
          </cell>
          <cell r="B82">
            <v>5865.85</v>
          </cell>
          <cell r="C82">
            <v>8102298.85</v>
          </cell>
          <cell r="D82">
            <v>3711734.66</v>
          </cell>
        </row>
        <row r="82">
          <cell r="H82">
            <v>11819899.36</v>
          </cell>
        </row>
        <row r="83">
          <cell r="A83" t="str">
            <v>Moghbazar</v>
          </cell>
          <cell r="B83">
            <v>215494.88</v>
          </cell>
          <cell r="C83">
            <v>644678.33</v>
          </cell>
          <cell r="D83">
            <v>1019880.18</v>
          </cell>
        </row>
        <row r="83">
          <cell r="H83">
            <v>1880053.39</v>
          </cell>
        </row>
        <row r="84">
          <cell r="A84" t="str">
            <v>Mohammadpur</v>
          </cell>
          <cell r="B84">
            <v>607838.87</v>
          </cell>
          <cell r="C84">
            <v>1777642.73</v>
          </cell>
          <cell r="D84">
            <v>5022099.18</v>
          </cell>
        </row>
        <row r="84">
          <cell r="H84">
            <v>7407580.78</v>
          </cell>
        </row>
        <row r="85">
          <cell r="A85" t="str">
            <v>Mymensingh</v>
          </cell>
          <cell r="B85">
            <v>1053598.61</v>
          </cell>
          <cell r="C85">
            <v>5695289.45</v>
          </cell>
          <cell r="D85">
            <v>1637610.93</v>
          </cell>
        </row>
        <row r="85">
          <cell r="H85">
            <v>8386498.99</v>
          </cell>
        </row>
        <row r="86">
          <cell r="A86" t="str">
            <v>Nangolkot</v>
          </cell>
          <cell r="B86">
            <v>25690.45</v>
          </cell>
          <cell r="C86">
            <v>1315710.88</v>
          </cell>
        </row>
        <row r="86">
          <cell r="H86">
            <v>1341401.33</v>
          </cell>
        </row>
        <row r="87">
          <cell r="A87" t="str">
            <v>Naogaon</v>
          </cell>
          <cell r="B87">
            <v>361248.94</v>
          </cell>
          <cell r="C87">
            <v>1472178.55</v>
          </cell>
        </row>
        <row r="87">
          <cell r="H87">
            <v>1833427.49</v>
          </cell>
        </row>
        <row r="88">
          <cell r="A88" t="str">
            <v>Narail</v>
          </cell>
          <cell r="B88">
            <v>529497.76</v>
          </cell>
          <cell r="C88">
            <v>84369.39</v>
          </cell>
        </row>
        <row r="88">
          <cell r="H88">
            <v>613867.15</v>
          </cell>
        </row>
        <row r="89">
          <cell r="A89" t="str">
            <v>Narayangonj</v>
          </cell>
        </row>
        <row r="89">
          <cell r="C89">
            <v>1114230.61</v>
          </cell>
          <cell r="D89">
            <v>487145.3</v>
          </cell>
        </row>
        <row r="89">
          <cell r="H89">
            <v>1601375.91</v>
          </cell>
        </row>
        <row r="90">
          <cell r="A90" t="str">
            <v>Narsingdi</v>
          </cell>
          <cell r="B90">
            <v>399461.52</v>
          </cell>
          <cell r="C90">
            <v>1183562.05</v>
          </cell>
          <cell r="D90">
            <v>3991022.01</v>
          </cell>
        </row>
        <row r="90">
          <cell r="H90">
            <v>5574045.58</v>
          </cell>
        </row>
        <row r="91">
          <cell r="A91" t="str">
            <v>Nawabgonj</v>
          </cell>
          <cell r="B91">
            <v>116000.81</v>
          </cell>
          <cell r="C91">
            <v>2705697.53</v>
          </cell>
        </row>
        <row r="91">
          <cell r="H91">
            <v>2821698.34</v>
          </cell>
        </row>
        <row r="92">
          <cell r="A92" t="str">
            <v>Nawabpur</v>
          </cell>
          <cell r="B92">
            <v>963554.78</v>
          </cell>
          <cell r="C92">
            <v>362300.23</v>
          </cell>
          <cell r="D92">
            <v>2601644.6</v>
          </cell>
        </row>
        <row r="92">
          <cell r="H92">
            <v>3927499.61</v>
          </cell>
        </row>
        <row r="93">
          <cell r="A93" t="str">
            <v>Nondon Kanon</v>
          </cell>
        </row>
        <row r="93">
          <cell r="C93">
            <v>4968237.17</v>
          </cell>
        </row>
        <row r="93">
          <cell r="H93">
            <v>4968237.17</v>
          </cell>
        </row>
        <row r="94">
          <cell r="A94" t="str">
            <v>Pabna</v>
          </cell>
        </row>
        <row r="94">
          <cell r="C94">
            <v>893970.85</v>
          </cell>
        </row>
        <row r="94">
          <cell r="H94">
            <v>893970.85</v>
          </cell>
        </row>
        <row r="95">
          <cell r="A95" t="str">
            <v>Pahartali</v>
          </cell>
        </row>
        <row r="95">
          <cell r="C95">
            <v>224644.22</v>
          </cell>
          <cell r="D95">
            <v>9040324.3</v>
          </cell>
          <cell r="E95">
            <v>15257581.1</v>
          </cell>
        </row>
        <row r="95">
          <cell r="H95">
            <v>24522549.62</v>
          </cell>
        </row>
        <row r="96">
          <cell r="A96" t="str">
            <v>Panchaghar</v>
          </cell>
          <cell r="B96">
            <v>23200.91</v>
          </cell>
          <cell r="C96">
            <v>2645727.88</v>
          </cell>
          <cell r="D96">
            <v>885008.01</v>
          </cell>
        </row>
        <row r="96">
          <cell r="H96">
            <v>3553936.8</v>
          </cell>
        </row>
        <row r="97">
          <cell r="A97" t="str">
            <v>Patuakhali</v>
          </cell>
          <cell r="B97">
            <v>2315643.57</v>
          </cell>
          <cell r="C97">
            <v>6612965.84</v>
          </cell>
          <cell r="D97">
            <v>4388410.85</v>
          </cell>
        </row>
        <row r="97">
          <cell r="H97">
            <v>13317020.26</v>
          </cell>
        </row>
        <row r="98">
          <cell r="A98" t="str">
            <v>Potiya</v>
          </cell>
          <cell r="B98">
            <v>872580.33</v>
          </cell>
          <cell r="C98">
            <v>2086010.44</v>
          </cell>
          <cell r="D98">
            <v>8403060.92</v>
          </cell>
        </row>
        <row r="98">
          <cell r="H98">
            <v>11361651.69</v>
          </cell>
        </row>
        <row r="99">
          <cell r="A99" t="str">
            <v>Rajbari</v>
          </cell>
          <cell r="B99">
            <v>1186661.27</v>
          </cell>
          <cell r="C99">
            <v>4236126.09</v>
          </cell>
          <cell r="D99">
            <v>1109347.71</v>
          </cell>
          <cell r="E99">
            <v>39162.51</v>
          </cell>
          <cell r="F99">
            <v>298313.23</v>
          </cell>
        </row>
        <row r="99">
          <cell r="H99">
            <v>6869610.81</v>
          </cell>
        </row>
        <row r="100">
          <cell r="A100" t="str">
            <v>Rajshahi</v>
          </cell>
          <cell r="B100">
            <v>1051278.65</v>
          </cell>
          <cell r="C100">
            <v>5785101.44</v>
          </cell>
          <cell r="D100">
            <v>1148258.08</v>
          </cell>
        </row>
        <row r="100">
          <cell r="H100">
            <v>7984638.17</v>
          </cell>
        </row>
        <row r="101">
          <cell r="A101" t="str">
            <v>Rangpur</v>
          </cell>
          <cell r="B101">
            <v>1184154.93</v>
          </cell>
          <cell r="C101">
            <v>1821202.23</v>
          </cell>
        </row>
        <row r="101">
          <cell r="H101">
            <v>3005357.16</v>
          </cell>
        </row>
        <row r="102">
          <cell r="A102" t="str">
            <v>Savar</v>
          </cell>
          <cell r="B102">
            <v>780759.63</v>
          </cell>
          <cell r="C102">
            <v>4923409.73</v>
          </cell>
          <cell r="D102">
            <v>3898221.2</v>
          </cell>
        </row>
        <row r="102">
          <cell r="H102">
            <v>9602390.56</v>
          </cell>
        </row>
        <row r="103">
          <cell r="A103" t="str">
            <v>Savar-2</v>
          </cell>
        </row>
        <row r="103">
          <cell r="C103">
            <v>1592467.72</v>
          </cell>
        </row>
        <row r="103">
          <cell r="E103">
            <v>5873472.22</v>
          </cell>
        </row>
        <row r="103">
          <cell r="H103">
            <v>7465939.94</v>
          </cell>
        </row>
        <row r="104">
          <cell r="A104" t="str">
            <v>Shaheshtagonj</v>
          </cell>
          <cell r="B104">
            <v>727149.93</v>
          </cell>
          <cell r="C104">
            <v>584729.88</v>
          </cell>
          <cell r="D104">
            <v>4791883.48</v>
          </cell>
        </row>
        <row r="104">
          <cell r="H104">
            <v>6103763.29</v>
          </cell>
        </row>
        <row r="105">
          <cell r="A105" t="str">
            <v>Shambazar</v>
          </cell>
          <cell r="B105">
            <v>726145.73</v>
          </cell>
          <cell r="C105">
            <v>1626642.52</v>
          </cell>
          <cell r="D105">
            <v>3617242.7</v>
          </cell>
        </row>
        <row r="105">
          <cell r="H105">
            <v>5970030.95</v>
          </cell>
        </row>
        <row r="106">
          <cell r="A106" t="str">
            <v>Shariatpur</v>
          </cell>
          <cell r="B106">
            <v>763029.81</v>
          </cell>
          <cell r="C106">
            <v>1226485.09</v>
          </cell>
        </row>
        <row r="106">
          <cell r="H106">
            <v>1989514.9</v>
          </cell>
        </row>
        <row r="107">
          <cell r="A107" t="str">
            <v>Shiddirgonj</v>
          </cell>
        </row>
        <row r="107">
          <cell r="C107">
            <v>946343.28</v>
          </cell>
        </row>
        <row r="107">
          <cell r="H107">
            <v>946343.28</v>
          </cell>
        </row>
        <row r="108">
          <cell r="A108" t="str">
            <v>Sirajgonj</v>
          </cell>
          <cell r="B108">
            <v>768348.29</v>
          </cell>
          <cell r="C108">
            <v>575982.26</v>
          </cell>
        </row>
        <row r="108">
          <cell r="H108">
            <v>1344330.55</v>
          </cell>
        </row>
        <row r="109">
          <cell r="A109" t="str">
            <v>Sonir Akhra</v>
          </cell>
          <cell r="B109">
            <v>75560.22</v>
          </cell>
          <cell r="C109">
            <v>1896899.44</v>
          </cell>
        </row>
        <row r="109">
          <cell r="H109">
            <v>1972459.66</v>
          </cell>
        </row>
        <row r="110">
          <cell r="A110" t="str">
            <v>South Surma</v>
          </cell>
          <cell r="B110">
            <v>68254.75</v>
          </cell>
          <cell r="C110">
            <v>3473737.7</v>
          </cell>
        </row>
        <row r="110">
          <cell r="H110">
            <v>3541992.45</v>
          </cell>
        </row>
        <row r="111">
          <cell r="A111" t="str">
            <v>Sreenagar</v>
          </cell>
        </row>
        <row r="111">
          <cell r="C111">
            <v>988943.03</v>
          </cell>
        </row>
        <row r="111">
          <cell r="H111">
            <v>988943.03</v>
          </cell>
        </row>
        <row r="112">
          <cell r="A112" t="str">
            <v>Sreepur</v>
          </cell>
        </row>
        <row r="112">
          <cell r="C112">
            <v>1929247.23</v>
          </cell>
        </row>
        <row r="112">
          <cell r="H112">
            <v>1929247.23</v>
          </cell>
        </row>
        <row r="113">
          <cell r="A113" t="str">
            <v>Swarupkathi</v>
          </cell>
          <cell r="B113">
            <v>2842668.09</v>
          </cell>
          <cell r="C113">
            <v>2721033.76</v>
          </cell>
        </row>
        <row r="113">
          <cell r="H113">
            <v>5563701.85</v>
          </cell>
        </row>
        <row r="114">
          <cell r="A114" t="str">
            <v>Syedpur</v>
          </cell>
          <cell r="B114">
            <v>716852.68</v>
          </cell>
        </row>
        <row r="114">
          <cell r="H114">
            <v>716852.68</v>
          </cell>
        </row>
        <row r="115">
          <cell r="A115" t="str">
            <v>Tangail</v>
          </cell>
          <cell r="B115">
            <v>1268144.02</v>
          </cell>
          <cell r="C115">
            <v>1580129.62</v>
          </cell>
          <cell r="D115">
            <v>1603934.95</v>
          </cell>
        </row>
        <row r="115">
          <cell r="H115">
            <v>4452208.59</v>
          </cell>
        </row>
        <row r="116">
          <cell r="A116" t="str">
            <v>Thakurgaon</v>
          </cell>
          <cell r="B116">
            <v>1098669.43</v>
          </cell>
          <cell r="C116">
            <v>2522595.39</v>
          </cell>
          <cell r="D116">
            <v>38455.34</v>
          </cell>
        </row>
        <row r="116">
          <cell r="F116">
            <v>577796.48</v>
          </cell>
        </row>
        <row r="116">
          <cell r="H116">
            <v>4237516.64</v>
          </cell>
        </row>
        <row r="117">
          <cell r="A117" t="str">
            <v>Tongi</v>
          </cell>
          <cell r="B117">
            <v>956825.25</v>
          </cell>
          <cell r="C117">
            <v>7172622.78</v>
          </cell>
          <cell r="D117">
            <v>5545213.77</v>
          </cell>
        </row>
        <row r="117">
          <cell r="H117">
            <v>13674661.8</v>
          </cell>
        </row>
        <row r="118">
          <cell r="A118" t="str">
            <v>Zinzira</v>
          </cell>
          <cell r="B118">
            <v>768978.71</v>
          </cell>
          <cell r="C118">
            <v>5170746.96</v>
          </cell>
        </row>
        <row r="118">
          <cell r="H118">
            <v>5939725.67</v>
          </cell>
        </row>
        <row r="119">
          <cell r="A119" t="str">
            <v>Grand Total</v>
          </cell>
          <cell r="B119">
            <v>81059881.49</v>
          </cell>
          <cell r="C119">
            <v>325137003.93</v>
          </cell>
          <cell r="D119">
            <v>250673085.28</v>
          </cell>
          <cell r="E119">
            <v>51657769.94</v>
          </cell>
          <cell r="F119">
            <v>23534261.4</v>
          </cell>
          <cell r="G119">
            <v>72001036.64</v>
          </cell>
          <cell r="H119">
            <v>804063038.68</v>
          </cell>
        </row>
      </sheetData>
      <sheetData sheetId="18">
        <row r="5">
          <cell r="A5" t="str">
            <v>Agailjhara</v>
          </cell>
          <cell r="B5">
            <v>2596286.99</v>
          </cell>
          <cell r="C5">
            <v>3951991.57</v>
          </cell>
          <cell r="D5">
            <v>2621280.81</v>
          </cell>
          <cell r="E5">
            <v>562009.43</v>
          </cell>
        </row>
        <row r="5">
          <cell r="H5">
            <v>9731568.8</v>
          </cell>
        </row>
        <row r="6">
          <cell r="A6" t="str">
            <v>Ambarkhana</v>
          </cell>
          <cell r="B6">
            <v>2116652.18</v>
          </cell>
          <cell r="C6">
            <v>779349.74</v>
          </cell>
        </row>
        <row r="6">
          <cell r="H6">
            <v>2896001.92</v>
          </cell>
        </row>
        <row r="7">
          <cell r="A7" t="str">
            <v>Anderkilla</v>
          </cell>
          <cell r="B7">
            <v>1026191.17</v>
          </cell>
          <cell r="C7">
            <v>20301295.25</v>
          </cell>
          <cell r="D7">
            <v>21271326.93</v>
          </cell>
        </row>
        <row r="7">
          <cell r="H7">
            <v>42598813.35</v>
          </cell>
        </row>
        <row r="8">
          <cell r="A8" t="str">
            <v>Ashulia</v>
          </cell>
          <cell r="B8">
            <v>945378.63</v>
          </cell>
          <cell r="C8">
            <v>2695449.76</v>
          </cell>
          <cell r="D8">
            <v>7898768.63</v>
          </cell>
        </row>
        <row r="8">
          <cell r="H8">
            <v>11539597.02</v>
          </cell>
        </row>
        <row r="9">
          <cell r="A9" t="str">
            <v>Badda</v>
          </cell>
          <cell r="B9">
            <v>747477.35</v>
          </cell>
          <cell r="C9">
            <v>4313222.6</v>
          </cell>
          <cell r="D9">
            <v>5508373.86</v>
          </cell>
        </row>
        <row r="9">
          <cell r="G9">
            <v>8059527.38</v>
          </cell>
          <cell r="H9">
            <v>18628601.19</v>
          </cell>
        </row>
        <row r="10">
          <cell r="A10" t="str">
            <v>Bagerhat</v>
          </cell>
          <cell r="B10">
            <v>2969105.26</v>
          </cell>
          <cell r="C10">
            <v>2854613.41</v>
          </cell>
        </row>
        <row r="10">
          <cell r="H10">
            <v>5823718.67</v>
          </cell>
        </row>
        <row r="11">
          <cell r="A11" t="str">
            <v>Baligaon</v>
          </cell>
          <cell r="B11">
            <v>201710.11</v>
          </cell>
          <cell r="C11">
            <v>1527593.41</v>
          </cell>
        </row>
        <row r="11">
          <cell r="H11">
            <v>1729303.52</v>
          </cell>
        </row>
        <row r="12">
          <cell r="A12" t="str">
            <v>Banasree</v>
          </cell>
          <cell r="B12">
            <v>475299.97</v>
          </cell>
          <cell r="C12">
            <v>7673010.96</v>
          </cell>
          <cell r="D12">
            <v>3843790.26</v>
          </cell>
          <cell r="E12">
            <v>5231850.17</v>
          </cell>
          <cell r="F12">
            <v>6878510.34</v>
          </cell>
        </row>
        <row r="12">
          <cell r="H12">
            <v>24102461.7</v>
          </cell>
        </row>
        <row r="13">
          <cell r="A13" t="str">
            <v>Bancharampur</v>
          </cell>
          <cell r="B13">
            <v>873487.9</v>
          </cell>
          <cell r="C13">
            <v>3935878.3</v>
          </cell>
        </row>
        <row r="13">
          <cell r="H13">
            <v>4809366.2</v>
          </cell>
        </row>
        <row r="14">
          <cell r="A14" t="str">
            <v>Bandartila </v>
          </cell>
          <cell r="B14">
            <v>1003731.66</v>
          </cell>
          <cell r="C14">
            <v>4772549.86</v>
          </cell>
          <cell r="D14">
            <v>4326710.99</v>
          </cell>
          <cell r="E14">
            <v>4962246.38</v>
          </cell>
          <cell r="F14">
            <v>6809828.29</v>
          </cell>
        </row>
        <row r="14">
          <cell r="H14">
            <v>21875067.18</v>
          </cell>
        </row>
        <row r="15">
          <cell r="A15" t="str">
            <v>Barguna</v>
          </cell>
          <cell r="B15">
            <v>3242202.55</v>
          </cell>
          <cell r="C15">
            <v>9275801.74</v>
          </cell>
          <cell r="D15">
            <v>1060743.3</v>
          </cell>
        </row>
        <row r="15">
          <cell r="F15">
            <v>6605436.94</v>
          </cell>
        </row>
        <row r="15">
          <cell r="H15">
            <v>20184184.53</v>
          </cell>
        </row>
        <row r="16">
          <cell r="A16" t="str">
            <v>Barishal</v>
          </cell>
          <cell r="B16">
            <v>1644440.34</v>
          </cell>
          <cell r="C16">
            <v>9482453.41</v>
          </cell>
          <cell r="D16">
            <v>7422669.29</v>
          </cell>
        </row>
        <row r="16">
          <cell r="H16">
            <v>18549563.04</v>
          </cell>
        </row>
        <row r="17">
          <cell r="A17" t="str">
            <v>Bhanga</v>
          </cell>
          <cell r="B17">
            <v>4049577.91</v>
          </cell>
          <cell r="C17">
            <v>7718620.12</v>
          </cell>
          <cell r="D17">
            <v>3421135.9</v>
          </cell>
        </row>
        <row r="17">
          <cell r="H17">
            <v>15189333.93</v>
          </cell>
        </row>
        <row r="18">
          <cell r="A18" t="str">
            <v>Bharaib</v>
          </cell>
          <cell r="B18">
            <v>851846.09</v>
          </cell>
          <cell r="C18">
            <v>5823496.41</v>
          </cell>
          <cell r="D18">
            <v>776107.92</v>
          </cell>
        </row>
        <row r="18">
          <cell r="H18">
            <v>7451450.42</v>
          </cell>
        </row>
        <row r="19">
          <cell r="A19" t="str">
            <v>Bheramara</v>
          </cell>
          <cell r="B19">
            <v>4393416.61</v>
          </cell>
          <cell r="C19">
            <v>5645322.01</v>
          </cell>
          <cell r="D19">
            <v>9340002.12</v>
          </cell>
        </row>
        <row r="19">
          <cell r="H19">
            <v>19378740.74</v>
          </cell>
        </row>
        <row r="20">
          <cell r="A20" t="str">
            <v>Bhola</v>
          </cell>
          <cell r="B20">
            <v>2085882.23</v>
          </cell>
          <cell r="C20">
            <v>2358060.61</v>
          </cell>
          <cell r="D20">
            <v>2500727.65</v>
          </cell>
        </row>
        <row r="20">
          <cell r="H20">
            <v>6944670.49</v>
          </cell>
        </row>
        <row r="21">
          <cell r="A21" t="str">
            <v>Bhulta</v>
          </cell>
          <cell r="B21">
            <v>316280.17</v>
          </cell>
          <cell r="C21">
            <v>1764839.69</v>
          </cell>
          <cell r="D21">
            <v>2865312.03</v>
          </cell>
        </row>
        <row r="21">
          <cell r="H21">
            <v>4946431.89</v>
          </cell>
        </row>
        <row r="22">
          <cell r="A22" t="str">
            <v>Bogura</v>
          </cell>
          <cell r="B22">
            <v>1428685.58</v>
          </cell>
          <cell r="C22">
            <v>10495481.84</v>
          </cell>
          <cell r="D22">
            <v>7961205.12</v>
          </cell>
        </row>
        <row r="22">
          <cell r="H22">
            <v>19885372.54</v>
          </cell>
        </row>
        <row r="23">
          <cell r="A23" t="str">
            <v>Brahmanbaria</v>
          </cell>
          <cell r="B23">
            <v>1227439.01</v>
          </cell>
          <cell r="C23">
            <v>6468986.34</v>
          </cell>
          <cell r="D23">
            <v>5416246.19</v>
          </cell>
        </row>
        <row r="23">
          <cell r="H23">
            <v>13112671.54</v>
          </cell>
        </row>
        <row r="24">
          <cell r="A24" t="str">
            <v>C. Nawabganj</v>
          </cell>
          <cell r="B24">
            <v>332835.03</v>
          </cell>
          <cell r="C24">
            <v>1453689.17</v>
          </cell>
          <cell r="D24">
            <v>3373516.19</v>
          </cell>
        </row>
        <row r="24">
          <cell r="H24">
            <v>5160040.39</v>
          </cell>
        </row>
        <row r="25">
          <cell r="A25" t="str">
            <v>Chandina</v>
          </cell>
          <cell r="B25">
            <v>4459122.59</v>
          </cell>
          <cell r="C25">
            <v>3517056.92</v>
          </cell>
          <cell r="D25">
            <v>919091.3</v>
          </cell>
        </row>
        <row r="25">
          <cell r="H25">
            <v>8895270.81</v>
          </cell>
        </row>
        <row r="26">
          <cell r="A26" t="str">
            <v>Chauddagram</v>
          </cell>
          <cell r="B26">
            <v>3886181.54</v>
          </cell>
          <cell r="C26">
            <v>3190843.52</v>
          </cell>
          <cell r="D26">
            <v>1000137.49</v>
          </cell>
        </row>
        <row r="26">
          <cell r="F26">
            <v>4119121.05</v>
          </cell>
        </row>
        <row r="26">
          <cell r="H26">
            <v>12196283.6</v>
          </cell>
        </row>
        <row r="27">
          <cell r="A27" t="str">
            <v>Chawk Bazar</v>
          </cell>
          <cell r="B27">
            <v>852086.38</v>
          </cell>
          <cell r="C27">
            <v>11130359.4</v>
          </cell>
          <cell r="D27">
            <v>10496418.59</v>
          </cell>
          <cell r="E27">
            <v>3783147.89</v>
          </cell>
          <cell r="F27">
            <v>9220481.68</v>
          </cell>
          <cell r="G27">
            <v>5179254.54</v>
          </cell>
          <cell r="H27">
            <v>40661748.48</v>
          </cell>
        </row>
        <row r="28">
          <cell r="A28" t="str">
            <v>Choumohoni</v>
          </cell>
          <cell r="B28">
            <v>2257924.89</v>
          </cell>
          <cell r="C28">
            <v>8720917.42</v>
          </cell>
          <cell r="D28">
            <v>8940022.28</v>
          </cell>
        </row>
        <row r="28">
          <cell r="H28">
            <v>19918864.59</v>
          </cell>
        </row>
        <row r="29">
          <cell r="A29" t="str">
            <v>Chuadanga</v>
          </cell>
          <cell r="B29">
            <v>941649.35</v>
          </cell>
          <cell r="C29">
            <v>2049102.51</v>
          </cell>
          <cell r="D29">
            <v>6921033.52</v>
          </cell>
        </row>
        <row r="29">
          <cell r="F29">
            <v>295662.57</v>
          </cell>
        </row>
        <row r="29">
          <cell r="H29">
            <v>10207447.95</v>
          </cell>
        </row>
        <row r="30">
          <cell r="A30" t="str">
            <v>Comilla East</v>
          </cell>
          <cell r="B30">
            <v>1933011.38</v>
          </cell>
          <cell r="C30">
            <v>7735311.71</v>
          </cell>
          <cell r="D30">
            <v>464361.13</v>
          </cell>
        </row>
        <row r="30">
          <cell r="H30">
            <v>10132684.22</v>
          </cell>
        </row>
        <row r="31">
          <cell r="A31" t="str">
            <v>Comilla West</v>
          </cell>
          <cell r="B31">
            <v>2246622.91</v>
          </cell>
          <cell r="C31">
            <v>6654780.7</v>
          </cell>
          <cell r="D31">
            <v>3853106.82</v>
          </cell>
          <cell r="E31">
            <v>183338.69</v>
          </cell>
        </row>
        <row r="31">
          <cell r="G31">
            <v>4807334.21</v>
          </cell>
          <cell r="H31">
            <v>17745183.33</v>
          </cell>
        </row>
        <row r="32">
          <cell r="A32" t="str">
            <v>Companygonj</v>
          </cell>
          <cell r="B32">
            <v>291377.32</v>
          </cell>
          <cell r="C32">
            <v>3491178.57</v>
          </cell>
        </row>
        <row r="32">
          <cell r="H32">
            <v>3782555.89</v>
          </cell>
        </row>
        <row r="33">
          <cell r="A33" t="str">
            <v>Cox's Bazar</v>
          </cell>
        </row>
        <row r="33">
          <cell r="C33">
            <v>1186933.18</v>
          </cell>
          <cell r="D33">
            <v>2980998.44</v>
          </cell>
        </row>
        <row r="33">
          <cell r="H33">
            <v>4167931.62</v>
          </cell>
        </row>
        <row r="34">
          <cell r="A34" t="str">
            <v>Daulatpur</v>
          </cell>
        </row>
        <row r="34">
          <cell r="C34">
            <v>5958938.65</v>
          </cell>
          <cell r="D34">
            <v>6141023.73</v>
          </cell>
          <cell r="E34">
            <v>2305170.67</v>
          </cell>
        </row>
        <row r="34">
          <cell r="H34">
            <v>14405133.05</v>
          </cell>
        </row>
        <row r="35">
          <cell r="A35" t="str">
            <v>DEPZ</v>
          </cell>
          <cell r="B35">
            <v>961754.99</v>
          </cell>
          <cell r="C35">
            <v>2066381.45</v>
          </cell>
          <cell r="D35">
            <v>9272663.9</v>
          </cell>
        </row>
        <row r="35">
          <cell r="F35">
            <v>1646316.81</v>
          </cell>
        </row>
        <row r="35">
          <cell r="H35">
            <v>13947117.15</v>
          </cell>
        </row>
        <row r="36">
          <cell r="A36" t="str">
            <v>Dhamrai</v>
          </cell>
          <cell r="B36">
            <v>17464.89</v>
          </cell>
          <cell r="C36">
            <v>10247784.85</v>
          </cell>
          <cell r="D36">
            <v>7158473.53</v>
          </cell>
        </row>
        <row r="36">
          <cell r="H36">
            <v>17423723.27</v>
          </cell>
        </row>
        <row r="37">
          <cell r="A37" t="str">
            <v>Dinajpur</v>
          </cell>
          <cell r="B37">
            <v>542487.55</v>
          </cell>
          <cell r="C37">
            <v>2220682.32</v>
          </cell>
          <cell r="D37">
            <v>3591360.84</v>
          </cell>
          <cell r="E37">
            <v>2877802.72</v>
          </cell>
        </row>
        <row r="37">
          <cell r="H37">
            <v>9232333.43</v>
          </cell>
        </row>
        <row r="38">
          <cell r="A38" t="str">
            <v>Elephant Road</v>
          </cell>
          <cell r="B38">
            <v>1168683.7</v>
          </cell>
          <cell r="C38">
            <v>6488535.3</v>
          </cell>
          <cell r="D38">
            <v>8926233.08</v>
          </cell>
          <cell r="E38">
            <v>4425284.25</v>
          </cell>
        </row>
        <row r="38">
          <cell r="H38">
            <v>21008736.33</v>
          </cell>
        </row>
        <row r="39">
          <cell r="A39" t="str">
            <v>Faridpur</v>
          </cell>
          <cell r="B39">
            <v>828861.38</v>
          </cell>
          <cell r="C39">
            <v>9213041.15</v>
          </cell>
          <cell r="D39">
            <v>5463227.89</v>
          </cell>
        </row>
        <row r="39">
          <cell r="H39">
            <v>15505130.42</v>
          </cell>
        </row>
        <row r="40">
          <cell r="A40" t="str">
            <v>Fatullah</v>
          </cell>
          <cell r="B40">
            <v>201019.61</v>
          </cell>
          <cell r="C40">
            <v>4364631.25</v>
          </cell>
        </row>
        <row r="40">
          <cell r="H40">
            <v>4565650.86</v>
          </cell>
        </row>
        <row r="41">
          <cell r="A41" t="str">
            <v>Feni</v>
          </cell>
          <cell r="B41">
            <v>267172.72</v>
          </cell>
          <cell r="C41">
            <v>3848068.81</v>
          </cell>
          <cell r="D41">
            <v>1979661.82</v>
          </cell>
        </row>
        <row r="41">
          <cell r="H41">
            <v>6094903.35</v>
          </cell>
        </row>
        <row r="42">
          <cell r="A42" t="str">
            <v>Fulbari</v>
          </cell>
          <cell r="B42">
            <v>330695.31</v>
          </cell>
          <cell r="C42">
            <v>515809.15</v>
          </cell>
        </row>
        <row r="42">
          <cell r="E42">
            <v>2418156.09</v>
          </cell>
        </row>
        <row r="42">
          <cell r="H42">
            <v>3264660.55</v>
          </cell>
        </row>
        <row r="43">
          <cell r="A43" t="str">
            <v>Gaibandha</v>
          </cell>
          <cell r="B43">
            <v>721333.32</v>
          </cell>
          <cell r="C43">
            <v>2304775.49</v>
          </cell>
        </row>
        <row r="43">
          <cell r="H43">
            <v>3026108.81</v>
          </cell>
        </row>
        <row r="44">
          <cell r="A44" t="str">
            <v>Gazipur</v>
          </cell>
          <cell r="B44">
            <v>261516.02</v>
          </cell>
          <cell r="C44">
            <v>12472584.29</v>
          </cell>
          <cell r="D44">
            <v>7977748.28</v>
          </cell>
        </row>
        <row r="44">
          <cell r="H44">
            <v>20711848.59</v>
          </cell>
        </row>
        <row r="45">
          <cell r="A45" t="str">
            <v>Ghatail</v>
          </cell>
        </row>
        <row r="45">
          <cell r="C45">
            <v>1386290.36</v>
          </cell>
        </row>
        <row r="45">
          <cell r="H45">
            <v>1386290.36</v>
          </cell>
        </row>
        <row r="46">
          <cell r="A46" t="str">
            <v>Gopalgonj</v>
          </cell>
          <cell r="B46">
            <v>3015474.72</v>
          </cell>
          <cell r="C46">
            <v>6395363.65</v>
          </cell>
          <cell r="D46">
            <v>8471498.11</v>
          </cell>
        </row>
        <row r="46">
          <cell r="G46">
            <v>34913995.83</v>
          </cell>
          <cell r="H46">
            <v>52796332.31</v>
          </cell>
        </row>
        <row r="47">
          <cell r="A47" t="str">
            <v>Gulistan</v>
          </cell>
        </row>
        <row r="47">
          <cell r="C47">
            <v>722536.1</v>
          </cell>
          <cell r="D47">
            <v>4670698.31</v>
          </cell>
          <cell r="E47">
            <v>2452452.21</v>
          </cell>
        </row>
        <row r="47">
          <cell r="G47">
            <v>6857615.46</v>
          </cell>
          <cell r="H47">
            <v>14703302.08</v>
          </cell>
        </row>
        <row r="48">
          <cell r="A48" t="str">
            <v>Halishahar</v>
          </cell>
          <cell r="B48">
            <v>388917.14</v>
          </cell>
          <cell r="C48">
            <v>780363.95</v>
          </cell>
          <cell r="D48">
            <v>3355319.68</v>
          </cell>
        </row>
        <row r="48">
          <cell r="H48">
            <v>4524600.77</v>
          </cell>
        </row>
        <row r="49">
          <cell r="A49" t="str">
            <v>Hasnabad</v>
          </cell>
          <cell r="B49">
            <v>1586649.13</v>
          </cell>
          <cell r="C49">
            <v>8994070.72</v>
          </cell>
          <cell r="D49">
            <v>5903435.69</v>
          </cell>
        </row>
        <row r="49">
          <cell r="F49">
            <v>2255552.57</v>
          </cell>
        </row>
        <row r="49">
          <cell r="H49">
            <v>18739708.11</v>
          </cell>
        </row>
        <row r="50">
          <cell r="A50" t="str">
            <v>Hathazari</v>
          </cell>
          <cell r="B50">
            <v>803716.68</v>
          </cell>
          <cell r="C50">
            <v>7808511.66</v>
          </cell>
          <cell r="D50">
            <v>12313530.84</v>
          </cell>
          <cell r="E50">
            <v>1468685.95</v>
          </cell>
        </row>
        <row r="50">
          <cell r="H50">
            <v>22394445.13</v>
          </cell>
        </row>
        <row r="51">
          <cell r="A51" t="str">
            <v>Hazigonj</v>
          </cell>
          <cell r="B51">
            <v>1129944.54</v>
          </cell>
          <cell r="C51">
            <v>6276822.08</v>
          </cell>
          <cell r="D51">
            <v>6101399.14</v>
          </cell>
          <cell r="E51">
            <v>3845266.5</v>
          </cell>
        </row>
        <row r="51">
          <cell r="H51">
            <v>17353432.26</v>
          </cell>
        </row>
        <row r="52">
          <cell r="A52" t="str">
            <v>Hobigonj</v>
          </cell>
          <cell r="B52">
            <v>1307004.53</v>
          </cell>
          <cell r="C52">
            <v>3127257.78</v>
          </cell>
        </row>
        <row r="52">
          <cell r="F52">
            <v>987518.13</v>
          </cell>
        </row>
        <row r="52">
          <cell r="H52">
            <v>5421780.44</v>
          </cell>
        </row>
        <row r="53">
          <cell r="A53" t="str">
            <v>Imamgonj</v>
          </cell>
          <cell r="B53">
            <v>836851.59</v>
          </cell>
          <cell r="C53">
            <v>1701041.72</v>
          </cell>
          <cell r="D53">
            <v>5559524.62</v>
          </cell>
        </row>
        <row r="53">
          <cell r="H53">
            <v>8097417.93</v>
          </cell>
        </row>
        <row r="54">
          <cell r="A54" t="str">
            <v>Ishwardi</v>
          </cell>
          <cell r="B54">
            <v>832158.65</v>
          </cell>
          <cell r="C54">
            <v>5703141.83</v>
          </cell>
          <cell r="D54">
            <v>4492915.09</v>
          </cell>
        </row>
        <row r="54">
          <cell r="G54">
            <v>12789704.92</v>
          </cell>
          <cell r="H54">
            <v>23817920.49</v>
          </cell>
        </row>
        <row r="55">
          <cell r="A55" t="str">
            <v>Islambagh</v>
          </cell>
          <cell r="B55">
            <v>588759.32</v>
          </cell>
          <cell r="C55">
            <v>3475308.59</v>
          </cell>
          <cell r="D55">
            <v>1494101.26</v>
          </cell>
        </row>
        <row r="55">
          <cell r="H55">
            <v>5558169.17</v>
          </cell>
        </row>
        <row r="56">
          <cell r="A56" t="str">
            <v>Islampur Road</v>
          </cell>
        </row>
        <row r="56">
          <cell r="C56">
            <v>3487515.3</v>
          </cell>
          <cell r="D56">
            <v>12882651.79</v>
          </cell>
          <cell r="E56">
            <v>1983999.97</v>
          </cell>
        </row>
        <row r="56">
          <cell r="H56">
            <v>18354167.06</v>
          </cell>
        </row>
        <row r="57">
          <cell r="A57" t="str">
            <v>Jatrabari</v>
          </cell>
          <cell r="B57">
            <v>1518608.82</v>
          </cell>
          <cell r="C57">
            <v>7527937.58</v>
          </cell>
          <cell r="D57">
            <v>6466582.59</v>
          </cell>
          <cell r="E57">
            <v>7172339.26</v>
          </cell>
          <cell r="F57">
            <v>681443.27</v>
          </cell>
        </row>
        <row r="57">
          <cell r="H57">
            <v>23366911.52</v>
          </cell>
        </row>
        <row r="58">
          <cell r="A58" t="str">
            <v>Jessore</v>
          </cell>
          <cell r="B58">
            <v>865224.25</v>
          </cell>
          <cell r="C58">
            <v>8358979.76</v>
          </cell>
          <cell r="D58">
            <v>16486644</v>
          </cell>
          <cell r="E58">
            <v>4844892.67</v>
          </cell>
        </row>
        <row r="58">
          <cell r="H58">
            <v>30555740.68</v>
          </cell>
        </row>
        <row r="59">
          <cell r="A59" t="str">
            <v>Jhenaidah</v>
          </cell>
          <cell r="B59">
            <v>1172045.62</v>
          </cell>
          <cell r="C59">
            <v>3879746.52</v>
          </cell>
        </row>
        <row r="59">
          <cell r="H59">
            <v>5051792.14</v>
          </cell>
        </row>
        <row r="60">
          <cell r="A60" t="str">
            <v>Jikorgacha</v>
          </cell>
          <cell r="B60">
            <v>1724646.13</v>
          </cell>
          <cell r="C60">
            <v>3785495.43</v>
          </cell>
          <cell r="D60">
            <v>6688456.72</v>
          </cell>
        </row>
        <row r="60">
          <cell r="H60">
            <v>12198598.28</v>
          </cell>
        </row>
        <row r="61">
          <cell r="A61" t="str">
            <v>Joydebpur</v>
          </cell>
          <cell r="B61">
            <v>869035.29</v>
          </cell>
          <cell r="C61">
            <v>5487002.36</v>
          </cell>
          <cell r="D61">
            <v>7318568.44</v>
          </cell>
        </row>
        <row r="61">
          <cell r="H61">
            <v>13674606.09</v>
          </cell>
        </row>
        <row r="62">
          <cell r="A62" t="str">
            <v>Joypurhat</v>
          </cell>
          <cell r="B62">
            <v>97109.37</v>
          </cell>
          <cell r="C62">
            <v>3993360.38</v>
          </cell>
          <cell r="D62">
            <v>6242873.26</v>
          </cell>
        </row>
        <row r="62">
          <cell r="G62">
            <v>16237808.51</v>
          </cell>
          <cell r="H62">
            <v>26571151.52</v>
          </cell>
        </row>
        <row r="63">
          <cell r="A63" t="str">
            <v>Kadamtali</v>
          </cell>
          <cell r="B63">
            <v>970404.38</v>
          </cell>
          <cell r="C63">
            <v>15471904.54</v>
          </cell>
          <cell r="D63">
            <v>10521235.89</v>
          </cell>
        </row>
        <row r="63">
          <cell r="H63">
            <v>26963544.81</v>
          </cell>
        </row>
        <row r="64">
          <cell r="A64" t="str">
            <v>Kalurghat</v>
          </cell>
          <cell r="B64">
            <v>567247.36</v>
          </cell>
          <cell r="C64">
            <v>6071092.5</v>
          </cell>
          <cell r="D64">
            <v>7405085.4</v>
          </cell>
          <cell r="E64">
            <v>4146611.23</v>
          </cell>
        </row>
        <row r="64">
          <cell r="H64">
            <v>18190036.49</v>
          </cell>
        </row>
        <row r="65">
          <cell r="A65" t="str">
            <v>Kamrangirchar</v>
          </cell>
          <cell r="B65">
            <v>1195826.4</v>
          </cell>
          <cell r="C65">
            <v>4633720.28</v>
          </cell>
          <cell r="D65">
            <v>1245273.54</v>
          </cell>
        </row>
        <row r="65">
          <cell r="H65">
            <v>7074820.22</v>
          </cell>
        </row>
        <row r="66">
          <cell r="A66" t="str">
            <v>Kazipara</v>
          </cell>
          <cell r="B66">
            <v>582812.72</v>
          </cell>
          <cell r="C66">
            <v>3254138.39</v>
          </cell>
          <cell r="D66">
            <v>3189837.68</v>
          </cell>
          <cell r="E66">
            <v>3530532.47</v>
          </cell>
        </row>
        <row r="66">
          <cell r="H66">
            <v>10557321.26</v>
          </cell>
        </row>
        <row r="67">
          <cell r="A67" t="str">
            <v>Keranigonj</v>
          </cell>
          <cell r="B67">
            <v>526220.73</v>
          </cell>
          <cell r="C67">
            <v>4436771.81</v>
          </cell>
          <cell r="D67">
            <v>8609234.94</v>
          </cell>
        </row>
        <row r="67">
          <cell r="H67">
            <v>13572227.48</v>
          </cell>
        </row>
        <row r="68">
          <cell r="A68" t="str">
            <v>Keshobpur</v>
          </cell>
          <cell r="B68">
            <v>1642718.05</v>
          </cell>
          <cell r="C68">
            <v>4852122.13</v>
          </cell>
          <cell r="D68">
            <v>6845423.39</v>
          </cell>
        </row>
        <row r="68">
          <cell r="H68">
            <v>13340263.57</v>
          </cell>
        </row>
        <row r="69">
          <cell r="A69" t="str">
            <v>Khatungonj</v>
          </cell>
          <cell r="B69">
            <v>187158.41</v>
          </cell>
          <cell r="C69">
            <v>5497022.35</v>
          </cell>
          <cell r="D69">
            <v>4844835.94</v>
          </cell>
          <cell r="E69">
            <v>3829615.43</v>
          </cell>
        </row>
        <row r="69">
          <cell r="H69">
            <v>14358632.13</v>
          </cell>
        </row>
        <row r="70">
          <cell r="A70" t="str">
            <v>Khulna</v>
          </cell>
          <cell r="B70">
            <v>1926634.88</v>
          </cell>
          <cell r="C70">
            <v>4251982.07</v>
          </cell>
          <cell r="D70">
            <v>9830970.48</v>
          </cell>
          <cell r="E70">
            <v>4829621.16</v>
          </cell>
          <cell r="F70">
            <v>3196101.45</v>
          </cell>
          <cell r="G70">
            <v>9263402.69</v>
          </cell>
          <cell r="H70">
            <v>33298712.73</v>
          </cell>
        </row>
        <row r="71">
          <cell r="A71" t="str">
            <v>Konabari</v>
          </cell>
          <cell r="B71">
            <v>1968958.99</v>
          </cell>
          <cell r="C71">
            <v>4116850.39</v>
          </cell>
        </row>
        <row r="71">
          <cell r="F71">
            <v>4889690.9</v>
          </cell>
        </row>
        <row r="71">
          <cell r="H71">
            <v>10975500.28</v>
          </cell>
        </row>
        <row r="72">
          <cell r="A72" t="str">
            <v>Kosba</v>
          </cell>
          <cell r="B72">
            <v>1096644.27</v>
          </cell>
          <cell r="C72">
            <v>6558680.69</v>
          </cell>
        </row>
        <row r="72">
          <cell r="H72">
            <v>7655324.96</v>
          </cell>
        </row>
        <row r="73">
          <cell r="A73" t="str">
            <v>Kotiadi</v>
          </cell>
          <cell r="B73">
            <v>1436412.41</v>
          </cell>
          <cell r="C73">
            <v>6683162.45</v>
          </cell>
        </row>
        <row r="73">
          <cell r="H73">
            <v>8119574.86</v>
          </cell>
        </row>
        <row r="74">
          <cell r="A74" t="str">
            <v>Kurigram</v>
          </cell>
          <cell r="B74">
            <v>4272626.38</v>
          </cell>
          <cell r="C74">
            <v>3322952.42</v>
          </cell>
        </row>
        <row r="74">
          <cell r="F74">
            <v>253168.1</v>
          </cell>
        </row>
        <row r="74">
          <cell r="H74">
            <v>7848746.9</v>
          </cell>
        </row>
        <row r="75">
          <cell r="A75" t="str">
            <v>Kushtia</v>
          </cell>
          <cell r="B75">
            <v>3522649.7</v>
          </cell>
          <cell r="C75">
            <v>6778227.9</v>
          </cell>
          <cell r="D75">
            <v>11432034.66</v>
          </cell>
        </row>
        <row r="75">
          <cell r="H75">
            <v>21732912.26</v>
          </cell>
        </row>
        <row r="76">
          <cell r="A76" t="str">
            <v>Laksham</v>
          </cell>
          <cell r="B76">
            <v>1755562.71</v>
          </cell>
          <cell r="C76">
            <v>6124469.42</v>
          </cell>
          <cell r="D76">
            <v>3267346.61</v>
          </cell>
        </row>
        <row r="76">
          <cell r="H76">
            <v>11147378.74</v>
          </cell>
        </row>
        <row r="77">
          <cell r="A77" t="str">
            <v>Laxmipur</v>
          </cell>
          <cell r="B77">
            <v>1163275.81</v>
          </cell>
          <cell r="C77">
            <v>5252854.09</v>
          </cell>
          <cell r="D77">
            <v>1701036.76</v>
          </cell>
        </row>
        <row r="77">
          <cell r="H77">
            <v>8117166.66</v>
          </cell>
        </row>
        <row r="78">
          <cell r="A78" t="str">
            <v>Lohagora, CTG</v>
          </cell>
          <cell r="B78">
            <v>849795.11</v>
          </cell>
          <cell r="C78">
            <v>4111521.03</v>
          </cell>
          <cell r="D78">
            <v>1482565.42</v>
          </cell>
        </row>
        <row r="78">
          <cell r="H78">
            <v>6443881.56</v>
          </cell>
        </row>
        <row r="79">
          <cell r="A79" t="str">
            <v>Madhabpur</v>
          </cell>
          <cell r="B79">
            <v>2166723.71</v>
          </cell>
          <cell r="C79">
            <v>3403236.19</v>
          </cell>
          <cell r="D79">
            <v>1594755.85</v>
          </cell>
        </row>
        <row r="79">
          <cell r="H79">
            <v>7164715.75</v>
          </cell>
        </row>
        <row r="80">
          <cell r="A80" t="str">
            <v>Magura</v>
          </cell>
          <cell r="B80">
            <v>1716023.59</v>
          </cell>
          <cell r="C80">
            <v>2711954.91</v>
          </cell>
          <cell r="D80">
            <v>3317866.21</v>
          </cell>
        </row>
        <row r="80">
          <cell r="H80">
            <v>7745844.71</v>
          </cell>
        </row>
        <row r="81">
          <cell r="A81" t="str">
            <v>Maijdee</v>
          </cell>
          <cell r="B81">
            <v>1814554.64</v>
          </cell>
          <cell r="C81">
            <v>7297400.56</v>
          </cell>
          <cell r="D81">
            <v>3400291.28</v>
          </cell>
        </row>
        <row r="81">
          <cell r="H81">
            <v>12512246.48</v>
          </cell>
        </row>
        <row r="82">
          <cell r="A82" t="str">
            <v>Manikgonj</v>
          </cell>
          <cell r="B82">
            <v>235539.52</v>
          </cell>
          <cell r="C82">
            <v>1626429.97</v>
          </cell>
        </row>
        <row r="82">
          <cell r="H82">
            <v>1861969.49</v>
          </cell>
        </row>
        <row r="83">
          <cell r="A83" t="str">
            <v>Mirpur</v>
          </cell>
          <cell r="B83">
            <v>644239.19</v>
          </cell>
          <cell r="C83">
            <v>15873552.72</v>
          </cell>
          <cell r="D83">
            <v>18662748.68</v>
          </cell>
          <cell r="E83">
            <v>2836530.09</v>
          </cell>
        </row>
        <row r="83">
          <cell r="H83">
            <v>38017070.68</v>
          </cell>
        </row>
        <row r="84">
          <cell r="A84" t="str">
            <v>Moghbazar</v>
          </cell>
          <cell r="B84">
            <v>215494.88</v>
          </cell>
          <cell r="C84">
            <v>2254136.19</v>
          </cell>
          <cell r="D84">
            <v>1019880.18</v>
          </cell>
        </row>
        <row r="84">
          <cell r="H84">
            <v>3489511.25</v>
          </cell>
        </row>
        <row r="85">
          <cell r="A85" t="str">
            <v>Mohammadpur</v>
          </cell>
          <cell r="B85">
            <v>607838.87</v>
          </cell>
          <cell r="C85">
            <v>5614802.71</v>
          </cell>
          <cell r="D85">
            <v>9561837.26</v>
          </cell>
        </row>
        <row r="85">
          <cell r="H85">
            <v>15784478.84</v>
          </cell>
        </row>
        <row r="86">
          <cell r="A86" t="str">
            <v>Mymensingh</v>
          </cell>
          <cell r="B86">
            <v>1053598.61</v>
          </cell>
          <cell r="C86">
            <v>11916900.55</v>
          </cell>
          <cell r="D86">
            <v>5313246.39</v>
          </cell>
        </row>
        <row r="86">
          <cell r="F86">
            <v>5466626.11</v>
          </cell>
        </row>
        <row r="86">
          <cell r="H86">
            <v>23750371.66</v>
          </cell>
        </row>
        <row r="87">
          <cell r="A87" t="str">
            <v>Nangolkot</v>
          </cell>
          <cell r="B87">
            <v>564103.88</v>
          </cell>
          <cell r="C87">
            <v>1315710.88</v>
          </cell>
        </row>
        <row r="87">
          <cell r="H87">
            <v>1879814.76</v>
          </cell>
        </row>
        <row r="88">
          <cell r="A88" t="str">
            <v>Naogaon</v>
          </cell>
          <cell r="B88">
            <v>596116.56</v>
          </cell>
          <cell r="C88">
            <v>3708378.2</v>
          </cell>
        </row>
        <row r="88">
          <cell r="H88">
            <v>4304494.76</v>
          </cell>
        </row>
        <row r="89">
          <cell r="A89" t="str">
            <v>Narail</v>
          </cell>
          <cell r="B89">
            <v>1442842.77</v>
          </cell>
          <cell r="C89">
            <v>1916340.65</v>
          </cell>
          <cell r="D89">
            <v>746489.04</v>
          </cell>
        </row>
        <row r="89">
          <cell r="H89">
            <v>4105672.46</v>
          </cell>
        </row>
        <row r="90">
          <cell r="A90" t="str">
            <v>Narayangonj</v>
          </cell>
        </row>
        <row r="90">
          <cell r="C90">
            <v>2636959.48</v>
          </cell>
          <cell r="D90">
            <v>3106248.78</v>
          </cell>
        </row>
        <row r="90">
          <cell r="H90">
            <v>5743208.26</v>
          </cell>
        </row>
        <row r="91">
          <cell r="A91" t="str">
            <v>Narsingdi</v>
          </cell>
          <cell r="B91">
            <v>1454852.74</v>
          </cell>
          <cell r="C91">
            <v>2398699.76</v>
          </cell>
          <cell r="D91">
            <v>4438827.83</v>
          </cell>
        </row>
        <row r="91">
          <cell r="H91">
            <v>8292380.33</v>
          </cell>
        </row>
        <row r="92">
          <cell r="A92" t="str">
            <v>Nawabgonj</v>
          </cell>
          <cell r="B92">
            <v>116000.81</v>
          </cell>
          <cell r="C92">
            <v>4900536.73</v>
          </cell>
          <cell r="D92">
            <v>676895.18</v>
          </cell>
        </row>
        <row r="92">
          <cell r="H92">
            <v>5693432.72</v>
          </cell>
        </row>
        <row r="93">
          <cell r="A93" t="str">
            <v>Nawabpur</v>
          </cell>
          <cell r="B93">
            <v>1195862.99</v>
          </cell>
          <cell r="C93">
            <v>362300.23</v>
          </cell>
          <cell r="D93">
            <v>4702981.01</v>
          </cell>
        </row>
        <row r="93">
          <cell r="H93">
            <v>6261144.23</v>
          </cell>
        </row>
        <row r="94">
          <cell r="A94" t="str">
            <v>Nondon Kanon</v>
          </cell>
          <cell r="B94">
            <v>130940.97</v>
          </cell>
          <cell r="C94">
            <v>4968237.17</v>
          </cell>
          <cell r="D94">
            <v>4040691.19</v>
          </cell>
        </row>
        <row r="94">
          <cell r="H94">
            <v>9139869.33</v>
          </cell>
        </row>
        <row r="95">
          <cell r="A95" t="str">
            <v>Pabna</v>
          </cell>
          <cell r="B95">
            <v>619168.16</v>
          </cell>
          <cell r="C95">
            <v>6789983.34</v>
          </cell>
          <cell r="D95">
            <v>1371305.41</v>
          </cell>
        </row>
        <row r="95">
          <cell r="G95">
            <v>2418628.47</v>
          </cell>
          <cell r="H95">
            <v>11199085.38</v>
          </cell>
        </row>
        <row r="96">
          <cell r="A96" t="str">
            <v>Pahartali</v>
          </cell>
        </row>
        <row r="96">
          <cell r="C96">
            <v>1241221.85</v>
          </cell>
          <cell r="D96">
            <v>9040324.3</v>
          </cell>
          <cell r="E96">
            <v>15257581.1</v>
          </cell>
        </row>
        <row r="96">
          <cell r="H96">
            <v>25539127.25</v>
          </cell>
        </row>
        <row r="97">
          <cell r="A97" t="str">
            <v>Panchaghar</v>
          </cell>
          <cell r="B97">
            <v>277532.94</v>
          </cell>
          <cell r="C97">
            <v>3262152.53</v>
          </cell>
          <cell r="D97">
            <v>885008.01</v>
          </cell>
          <cell r="E97">
            <v>1540242.09</v>
          </cell>
          <cell r="F97">
            <v>10766.06</v>
          </cell>
        </row>
        <row r="97">
          <cell r="H97">
            <v>5975701.63</v>
          </cell>
        </row>
        <row r="98">
          <cell r="A98" t="str">
            <v>Patuakhali</v>
          </cell>
          <cell r="B98">
            <v>3087762.74</v>
          </cell>
          <cell r="C98">
            <v>9940908.99</v>
          </cell>
          <cell r="D98">
            <v>5547250.79</v>
          </cell>
        </row>
        <row r="98">
          <cell r="F98">
            <v>8003924.68</v>
          </cell>
        </row>
        <row r="98">
          <cell r="H98">
            <v>26579847.2</v>
          </cell>
        </row>
        <row r="99">
          <cell r="A99" t="str">
            <v>Potiya</v>
          </cell>
          <cell r="B99">
            <v>1128892.82</v>
          </cell>
          <cell r="C99">
            <v>2852545.12</v>
          </cell>
          <cell r="D99">
            <v>10444865.58</v>
          </cell>
        </row>
        <row r="99">
          <cell r="H99">
            <v>14426303.52</v>
          </cell>
        </row>
        <row r="100">
          <cell r="A100" t="str">
            <v>Rajbari</v>
          </cell>
          <cell r="B100">
            <v>1725827.46</v>
          </cell>
          <cell r="C100">
            <v>5105396.92</v>
          </cell>
          <cell r="D100">
            <v>2734562.05</v>
          </cell>
          <cell r="E100">
            <v>384805.36</v>
          </cell>
          <cell r="F100">
            <v>298313.23</v>
          </cell>
        </row>
        <row r="100">
          <cell r="H100">
            <v>10248905.02</v>
          </cell>
        </row>
        <row r="101">
          <cell r="A101" t="str">
            <v>Rajshahi</v>
          </cell>
          <cell r="B101">
            <v>2031663.1</v>
          </cell>
          <cell r="C101">
            <v>7465646.05</v>
          </cell>
          <cell r="D101">
            <v>2251249.11</v>
          </cell>
        </row>
        <row r="101">
          <cell r="H101">
            <v>11748558.26</v>
          </cell>
        </row>
        <row r="102">
          <cell r="A102" t="str">
            <v>Rangpur</v>
          </cell>
          <cell r="B102">
            <v>1504137.83</v>
          </cell>
          <cell r="C102">
            <v>2385158.12</v>
          </cell>
          <cell r="D102">
            <v>3047913.05</v>
          </cell>
        </row>
        <row r="102">
          <cell r="H102">
            <v>6937209</v>
          </cell>
        </row>
        <row r="103">
          <cell r="A103" t="str">
            <v>Savar</v>
          </cell>
          <cell r="B103">
            <v>1376121.92</v>
          </cell>
          <cell r="C103">
            <v>6405299.95</v>
          </cell>
          <cell r="D103">
            <v>5221880.97</v>
          </cell>
        </row>
        <row r="103">
          <cell r="G103">
            <v>10020075.61</v>
          </cell>
          <cell r="H103">
            <v>23023378.45</v>
          </cell>
        </row>
        <row r="104">
          <cell r="A104" t="str">
            <v>Savar-2</v>
          </cell>
          <cell r="B104">
            <v>179029.05</v>
          </cell>
          <cell r="C104">
            <v>3119432.75</v>
          </cell>
          <cell r="D104">
            <v>1832513.5</v>
          </cell>
          <cell r="E104">
            <v>5873472.22</v>
          </cell>
        </row>
        <row r="104">
          <cell r="H104">
            <v>11004447.52</v>
          </cell>
        </row>
        <row r="105">
          <cell r="A105" t="str">
            <v>Shaheshtagonj</v>
          </cell>
          <cell r="B105">
            <v>1883571.3</v>
          </cell>
          <cell r="C105">
            <v>584729.88</v>
          </cell>
          <cell r="D105">
            <v>4791883.48</v>
          </cell>
        </row>
        <row r="105">
          <cell r="H105">
            <v>7260184.66</v>
          </cell>
        </row>
        <row r="106">
          <cell r="A106" t="str">
            <v>Shambazar</v>
          </cell>
          <cell r="B106">
            <v>1359317.76</v>
          </cell>
          <cell r="C106">
            <v>7683295.22</v>
          </cell>
          <cell r="D106">
            <v>3617242.7</v>
          </cell>
        </row>
        <row r="106">
          <cell r="H106">
            <v>12659855.68</v>
          </cell>
        </row>
        <row r="107">
          <cell r="A107" t="str">
            <v>Shariatpur</v>
          </cell>
          <cell r="B107">
            <v>763029.81</v>
          </cell>
          <cell r="C107">
            <v>4188617.09</v>
          </cell>
          <cell r="D107">
            <v>220799.95</v>
          </cell>
        </row>
        <row r="107">
          <cell r="H107">
            <v>5172446.85</v>
          </cell>
        </row>
        <row r="108">
          <cell r="A108" t="str">
            <v>Shiddirgonj</v>
          </cell>
          <cell r="B108">
            <v>30199.34</v>
          </cell>
          <cell r="C108">
            <v>2426438.61</v>
          </cell>
        </row>
        <row r="108">
          <cell r="H108">
            <v>2456637.95</v>
          </cell>
        </row>
        <row r="109">
          <cell r="A109" t="str">
            <v>Sirajgonj</v>
          </cell>
          <cell r="B109">
            <v>768348.29</v>
          </cell>
          <cell r="C109">
            <v>1388400.66</v>
          </cell>
          <cell r="D109">
            <v>2611418.72</v>
          </cell>
        </row>
        <row r="109">
          <cell r="H109">
            <v>4768167.67</v>
          </cell>
        </row>
        <row r="110">
          <cell r="A110" t="str">
            <v>Sonir Akhra</v>
          </cell>
          <cell r="B110">
            <v>75560.22</v>
          </cell>
          <cell r="C110">
            <v>1990530.22</v>
          </cell>
        </row>
        <row r="110">
          <cell r="G110">
            <v>9203562.13</v>
          </cell>
          <cell r="H110">
            <v>11269652.57</v>
          </cell>
        </row>
        <row r="111">
          <cell r="A111" t="str">
            <v>South Surma</v>
          </cell>
          <cell r="B111">
            <v>472547.3</v>
          </cell>
          <cell r="C111">
            <v>4388695.54</v>
          </cell>
          <cell r="D111">
            <v>1503725.98</v>
          </cell>
        </row>
        <row r="111">
          <cell r="H111">
            <v>6364968.82</v>
          </cell>
        </row>
        <row r="112">
          <cell r="A112" t="str">
            <v>Sreenagar</v>
          </cell>
          <cell r="B112">
            <v>538860.01</v>
          </cell>
          <cell r="C112">
            <v>4723039.09</v>
          </cell>
        </row>
        <row r="112">
          <cell r="H112">
            <v>5261899.1</v>
          </cell>
        </row>
        <row r="113">
          <cell r="A113" t="str">
            <v>Sreepur</v>
          </cell>
          <cell r="B113">
            <v>222118.55</v>
          </cell>
          <cell r="C113">
            <v>3074449.86</v>
          </cell>
          <cell r="D113">
            <v>1021356.36</v>
          </cell>
          <cell r="E113">
            <v>3486893.73</v>
          </cell>
        </row>
        <row r="113">
          <cell r="H113">
            <v>7804818.5</v>
          </cell>
        </row>
        <row r="114">
          <cell r="A114" t="str">
            <v>Swarupkathi</v>
          </cell>
          <cell r="B114">
            <v>3967917.93</v>
          </cell>
          <cell r="C114">
            <v>8165745.2</v>
          </cell>
          <cell r="D114">
            <v>9910632.77</v>
          </cell>
        </row>
        <row r="114">
          <cell r="H114">
            <v>22044295.9</v>
          </cell>
        </row>
        <row r="115">
          <cell r="A115" t="str">
            <v>Syedpur</v>
          </cell>
          <cell r="B115">
            <v>891674.13</v>
          </cell>
          <cell r="C115">
            <v>377906.63</v>
          </cell>
          <cell r="D115">
            <v>1100926.59</v>
          </cell>
        </row>
        <row r="115">
          <cell r="F115">
            <v>1714479.86</v>
          </cell>
        </row>
        <row r="115">
          <cell r="H115">
            <v>4084987.21</v>
          </cell>
        </row>
        <row r="116">
          <cell r="A116" t="str">
            <v>Tangail</v>
          </cell>
          <cell r="B116">
            <v>2006743.72</v>
          </cell>
          <cell r="C116">
            <v>5257265.02</v>
          </cell>
          <cell r="D116">
            <v>3009828.92</v>
          </cell>
        </row>
        <row r="116">
          <cell r="H116">
            <v>10273837.66</v>
          </cell>
        </row>
        <row r="117">
          <cell r="A117" t="str">
            <v>Thakurgaon</v>
          </cell>
          <cell r="B117">
            <v>1722779.52</v>
          </cell>
          <cell r="C117">
            <v>4731340.93</v>
          </cell>
          <cell r="D117">
            <v>38455.34</v>
          </cell>
        </row>
        <row r="117">
          <cell r="F117">
            <v>577796.48</v>
          </cell>
        </row>
        <row r="117">
          <cell r="H117">
            <v>7070372.27</v>
          </cell>
        </row>
        <row r="118">
          <cell r="A118" t="str">
            <v>Tongi</v>
          </cell>
          <cell r="B118">
            <v>1296254.15</v>
          </cell>
          <cell r="C118">
            <v>13968708.17</v>
          </cell>
          <cell r="D118">
            <v>13295290.87</v>
          </cell>
        </row>
        <row r="118">
          <cell r="H118">
            <v>28560253.19</v>
          </cell>
        </row>
        <row r="119">
          <cell r="A119" t="str">
            <v>Zinzira</v>
          </cell>
          <cell r="B119">
            <v>1273791.35</v>
          </cell>
          <cell r="C119">
            <v>9327354.51</v>
          </cell>
          <cell r="D119">
            <v>1553948.88</v>
          </cell>
        </row>
        <row r="119">
          <cell r="H119">
            <v>12155094.74</v>
          </cell>
        </row>
        <row r="120">
          <cell r="A120" t="str">
            <v>Grand Total</v>
          </cell>
          <cell r="B120">
            <v>138255569.81</v>
          </cell>
          <cell r="C120">
            <v>588727480.22</v>
          </cell>
          <cell r="D120">
            <v>500151702.29</v>
          </cell>
          <cell r="E120">
            <v>94232547.73</v>
          </cell>
          <cell r="F120">
            <v>63910738.52</v>
          </cell>
          <cell r="G120">
            <v>119750909.75</v>
          </cell>
          <cell r="H120">
            <v>1505028948.32</v>
          </cell>
        </row>
      </sheetData>
      <sheetData sheetId="19">
        <row r="5">
          <cell r="A5" t="str">
            <v>Agailjhara</v>
          </cell>
          <cell r="B5">
            <v>37477546.51</v>
          </cell>
          <cell r="C5">
            <v>70562757.16</v>
          </cell>
          <cell r="D5">
            <v>22847721.18</v>
          </cell>
          <cell r="E5">
            <v>11903024.61</v>
          </cell>
        </row>
        <row r="5">
          <cell r="G5">
            <v>90552425.12</v>
          </cell>
        </row>
        <row r="6">
          <cell r="A6" t="str">
            <v>Ambarkhana</v>
          </cell>
          <cell r="B6">
            <v>59781686.92</v>
          </cell>
          <cell r="C6">
            <v>6800000</v>
          </cell>
        </row>
        <row r="6">
          <cell r="E6">
            <v>12908193.69</v>
          </cell>
        </row>
        <row r="6">
          <cell r="G6">
            <v>59293407.95</v>
          </cell>
        </row>
        <row r="7">
          <cell r="A7" t="str">
            <v>Anderkilla</v>
          </cell>
          <cell r="B7">
            <v>1536855.61</v>
          </cell>
          <cell r="C7">
            <v>55953398.71</v>
          </cell>
          <cell r="D7">
            <v>42105340</v>
          </cell>
          <cell r="E7">
            <v>70475649.44</v>
          </cell>
        </row>
        <row r="7">
          <cell r="G7">
            <v>283612105.63</v>
          </cell>
        </row>
        <row r="8">
          <cell r="A8" t="str">
            <v>Ashulia</v>
          </cell>
          <cell r="B8">
            <v>2326962.82</v>
          </cell>
          <cell r="C8">
            <v>38511690.51</v>
          </cell>
          <cell r="D8">
            <v>55288748.86</v>
          </cell>
          <cell r="E8">
            <v>239643773.22</v>
          </cell>
        </row>
        <row r="8">
          <cell r="G8">
            <v>122583136.4</v>
          </cell>
        </row>
        <row r="9">
          <cell r="A9" t="str">
            <v>Badda</v>
          </cell>
          <cell r="B9">
            <v>8172414.26</v>
          </cell>
          <cell r="C9">
            <v>69024816.31</v>
          </cell>
          <cell r="D9">
            <v>62939172.72</v>
          </cell>
          <cell r="E9">
            <v>119312726.63</v>
          </cell>
        </row>
        <row r="9">
          <cell r="G9">
            <v>227933541.75</v>
          </cell>
        </row>
        <row r="10">
          <cell r="A10" t="str">
            <v>Bagerhat</v>
          </cell>
          <cell r="B10">
            <v>35068343.98</v>
          </cell>
          <cell r="C10">
            <v>4941402</v>
          </cell>
        </row>
        <row r="10">
          <cell r="E10">
            <v>12199017.18</v>
          </cell>
        </row>
        <row r="10">
          <cell r="G10">
            <v>77426964.09</v>
          </cell>
        </row>
        <row r="11">
          <cell r="A11" t="str">
            <v>Baligaon</v>
          </cell>
          <cell r="B11">
            <v>26448500.09</v>
          </cell>
        </row>
        <row r="11">
          <cell r="G11">
            <v>24190790.07</v>
          </cell>
        </row>
        <row r="12">
          <cell r="A12" t="str">
            <v>Banasree</v>
          </cell>
          <cell r="B12">
            <v>5678402.33</v>
          </cell>
          <cell r="C12">
            <v>91070864.97</v>
          </cell>
          <cell r="D12">
            <v>104585827.52</v>
          </cell>
          <cell r="E12">
            <v>69280057.63</v>
          </cell>
        </row>
        <row r="12">
          <cell r="G12">
            <v>177185166.79</v>
          </cell>
        </row>
        <row r="13">
          <cell r="A13" t="str">
            <v>Bancharampur</v>
          </cell>
          <cell r="B13">
            <v>58140422.28</v>
          </cell>
        </row>
        <row r="13">
          <cell r="G13">
            <v>16453675.5</v>
          </cell>
        </row>
        <row r="14">
          <cell r="A14" t="str">
            <v>Bandartila </v>
          </cell>
          <cell r="B14">
            <v>20229214.02</v>
          </cell>
          <cell r="C14">
            <v>11588580.23</v>
          </cell>
          <cell r="D14">
            <v>17327546.37</v>
          </cell>
          <cell r="E14">
            <v>22292009.85</v>
          </cell>
        </row>
        <row r="14">
          <cell r="G14">
            <v>61367658.22</v>
          </cell>
        </row>
        <row r="15">
          <cell r="A15" t="str">
            <v>Barguna</v>
          </cell>
          <cell r="B15">
            <v>36057196.16</v>
          </cell>
          <cell r="C15">
            <v>10616268.59</v>
          </cell>
          <cell r="D15">
            <v>9533300.39</v>
          </cell>
        </row>
        <row r="15">
          <cell r="G15">
            <v>63614017.53</v>
          </cell>
        </row>
        <row r="16">
          <cell r="A16" t="str">
            <v>Barishal</v>
          </cell>
          <cell r="B16">
            <v>27941436.12</v>
          </cell>
          <cell r="C16">
            <v>77800960.7</v>
          </cell>
          <cell r="D16">
            <v>33082549.43</v>
          </cell>
          <cell r="E16">
            <v>31108678.89</v>
          </cell>
        </row>
        <row r="16">
          <cell r="G16">
            <v>128508262.34</v>
          </cell>
        </row>
        <row r="17">
          <cell r="A17" t="str">
            <v>Bhanga</v>
          </cell>
          <cell r="B17">
            <v>72490064.66</v>
          </cell>
          <cell r="C17">
            <v>34296136.1</v>
          </cell>
        </row>
        <row r="17">
          <cell r="E17">
            <v>33544067.34</v>
          </cell>
        </row>
        <row r="17">
          <cell r="G17">
            <v>51627631.38</v>
          </cell>
        </row>
        <row r="18">
          <cell r="A18" t="str">
            <v>Bharaib</v>
          </cell>
          <cell r="B18">
            <v>15659834.95</v>
          </cell>
          <cell r="C18">
            <v>4056120.47</v>
          </cell>
          <cell r="D18">
            <v>20935043.94</v>
          </cell>
          <cell r="E18">
            <v>19620775.17</v>
          </cell>
        </row>
        <row r="18">
          <cell r="G18">
            <v>82199924.76</v>
          </cell>
        </row>
        <row r="19">
          <cell r="A19" t="str">
            <v>Bheramara</v>
          </cell>
          <cell r="B19">
            <v>19160803.96</v>
          </cell>
          <cell r="C19">
            <v>16663768.01</v>
          </cell>
          <cell r="D19">
            <v>23725206.53</v>
          </cell>
        </row>
        <row r="19">
          <cell r="G19">
            <v>130368101.4</v>
          </cell>
        </row>
        <row r="20">
          <cell r="A20" t="str">
            <v>Bhola</v>
          </cell>
          <cell r="B20">
            <v>14787773.12</v>
          </cell>
          <cell r="C20">
            <v>35119388.55</v>
          </cell>
          <cell r="D20">
            <v>5965649.03</v>
          </cell>
          <cell r="E20">
            <v>8594471.09</v>
          </cell>
        </row>
        <row r="20">
          <cell r="G20">
            <v>54067303.97</v>
          </cell>
        </row>
        <row r="21">
          <cell r="A21" t="str">
            <v>Bhulta</v>
          </cell>
          <cell r="B21">
            <v>12330949.25</v>
          </cell>
          <cell r="C21">
            <v>37407542.07</v>
          </cell>
        </row>
        <row r="21">
          <cell r="E21">
            <v>27342218.95</v>
          </cell>
        </row>
        <row r="21">
          <cell r="G21">
            <v>152638362.71</v>
          </cell>
        </row>
        <row r="22">
          <cell r="A22" t="str">
            <v>Bogura</v>
          </cell>
          <cell r="B22">
            <v>45357945.06</v>
          </cell>
          <cell r="C22">
            <v>77193321.33</v>
          </cell>
          <cell r="D22">
            <v>49101919.93</v>
          </cell>
          <cell r="E22">
            <v>49331507.32</v>
          </cell>
        </row>
        <row r="22">
          <cell r="G22">
            <v>130867494.36</v>
          </cell>
        </row>
        <row r="23">
          <cell r="A23" t="str">
            <v>Brahmanbaria</v>
          </cell>
          <cell r="B23">
            <v>37164455.26</v>
          </cell>
          <cell r="C23">
            <v>21580950.85</v>
          </cell>
          <cell r="D23">
            <v>26588352.29</v>
          </cell>
        </row>
        <row r="23">
          <cell r="G23">
            <v>98918239.06</v>
          </cell>
        </row>
        <row r="24">
          <cell r="A24" t="str">
            <v>C. Nawabganj</v>
          </cell>
          <cell r="B24">
            <v>22227874.76</v>
          </cell>
          <cell r="C24">
            <v>28980539.45</v>
          </cell>
          <cell r="D24">
            <v>13898520.78</v>
          </cell>
          <cell r="E24">
            <v>73258004.67</v>
          </cell>
        </row>
        <row r="24">
          <cell r="G24">
            <v>143811751.88</v>
          </cell>
        </row>
        <row r="25">
          <cell r="A25" t="str">
            <v>Chandina</v>
          </cell>
          <cell r="B25">
            <v>117916772.85</v>
          </cell>
          <cell r="C25">
            <v>15285366.64</v>
          </cell>
          <cell r="D25">
            <v>18059374.04</v>
          </cell>
        </row>
        <row r="25">
          <cell r="G25">
            <v>99338995.24</v>
          </cell>
        </row>
        <row r="26">
          <cell r="A26" t="str">
            <v>Chauddagram</v>
          </cell>
          <cell r="B26">
            <v>58456185.38</v>
          </cell>
          <cell r="C26">
            <v>10027098.08</v>
          </cell>
          <cell r="D26">
            <v>4119121.05</v>
          </cell>
        </row>
        <row r="26">
          <cell r="G26">
            <v>61673202.64</v>
          </cell>
        </row>
        <row r="27">
          <cell r="A27" t="str">
            <v>Chawk Bazar</v>
          </cell>
          <cell r="B27">
            <v>1738500.91</v>
          </cell>
          <cell r="C27">
            <v>137677494.02</v>
          </cell>
          <cell r="D27">
            <v>90439303.02</v>
          </cell>
          <cell r="E27">
            <v>104599752.84</v>
          </cell>
        </row>
        <row r="27">
          <cell r="G27">
            <v>276087632.27</v>
          </cell>
        </row>
        <row r="28">
          <cell r="A28" t="str">
            <v>Choumohoni</v>
          </cell>
          <cell r="B28">
            <v>28050763.89</v>
          </cell>
          <cell r="C28">
            <v>33422216.84</v>
          </cell>
          <cell r="D28">
            <v>25895965.01</v>
          </cell>
        </row>
        <row r="28">
          <cell r="G28">
            <v>113856927.9</v>
          </cell>
        </row>
        <row r="29">
          <cell r="A29" t="str">
            <v>Chuadanga</v>
          </cell>
          <cell r="B29">
            <v>14781739.42</v>
          </cell>
          <cell r="C29">
            <v>88028637.15</v>
          </cell>
          <cell r="D29">
            <v>77041704.05</v>
          </cell>
          <cell r="E29">
            <v>7446233.83</v>
          </cell>
        </row>
        <row r="29">
          <cell r="G29">
            <v>127134224.22</v>
          </cell>
        </row>
        <row r="30">
          <cell r="A30" t="str">
            <v>Comilla East</v>
          </cell>
          <cell r="B30">
            <v>39777792.74</v>
          </cell>
          <cell r="C30">
            <v>25737153.35</v>
          </cell>
          <cell r="D30">
            <v>31970373.47</v>
          </cell>
          <cell r="E30">
            <v>21068876.28</v>
          </cell>
        </row>
        <row r="30">
          <cell r="G30">
            <v>102572796.13</v>
          </cell>
        </row>
        <row r="31">
          <cell r="A31" t="str">
            <v>Comilla West</v>
          </cell>
          <cell r="B31">
            <v>28726942.32</v>
          </cell>
          <cell r="C31">
            <v>20044157.56</v>
          </cell>
          <cell r="D31">
            <v>17649047.27</v>
          </cell>
          <cell r="E31">
            <v>11946635.57</v>
          </cell>
        </row>
        <row r="31">
          <cell r="G31">
            <v>84832597.95</v>
          </cell>
        </row>
        <row r="32">
          <cell r="A32" t="str">
            <v>Companygonj</v>
          </cell>
          <cell r="B32">
            <v>73136961.3000001</v>
          </cell>
          <cell r="C32">
            <v>2851402.02</v>
          </cell>
          <cell r="D32">
            <v>3548653.37</v>
          </cell>
        </row>
        <row r="32">
          <cell r="G32">
            <v>29445846.28</v>
          </cell>
        </row>
        <row r="33">
          <cell r="A33" t="str">
            <v>Cox's Bazar</v>
          </cell>
          <cell r="B33">
            <v>12356127.21</v>
          </cell>
          <cell r="C33">
            <v>16143081.65</v>
          </cell>
          <cell r="D33">
            <v>9748858.57</v>
          </cell>
        </row>
        <row r="33">
          <cell r="G33">
            <v>60680400.18</v>
          </cell>
        </row>
        <row r="34">
          <cell r="A34" t="str">
            <v>Daulatpur</v>
          </cell>
          <cell r="B34">
            <v>8820365.56</v>
          </cell>
          <cell r="C34">
            <v>61193966.47</v>
          </cell>
          <cell r="D34">
            <v>23503857.86</v>
          </cell>
          <cell r="E34">
            <v>4462250.98</v>
          </cell>
        </row>
        <row r="34">
          <cell r="G34">
            <v>106547175.42</v>
          </cell>
        </row>
        <row r="35">
          <cell r="A35" t="str">
            <v>DEPZ</v>
          </cell>
          <cell r="B35">
            <v>6455439.32</v>
          </cell>
          <cell r="C35">
            <v>61405790.63</v>
          </cell>
          <cell r="D35">
            <v>17069943.77</v>
          </cell>
          <cell r="E35">
            <v>169250862.89</v>
          </cell>
        </row>
        <row r="35">
          <cell r="G35">
            <v>139513710.34</v>
          </cell>
        </row>
        <row r="36">
          <cell r="A36" t="str">
            <v>Dhamrai</v>
          </cell>
          <cell r="B36">
            <v>8260550.78</v>
          </cell>
          <cell r="C36">
            <v>19089098.79</v>
          </cell>
          <cell r="D36">
            <v>38237239.49</v>
          </cell>
          <cell r="E36">
            <v>12827007.26</v>
          </cell>
        </row>
        <row r="36">
          <cell r="G36">
            <v>66497148.07</v>
          </cell>
        </row>
        <row r="37">
          <cell r="A37" t="str">
            <v>Dinajpur</v>
          </cell>
          <cell r="B37">
            <v>20837205.34</v>
          </cell>
          <cell r="C37">
            <v>41984879.98</v>
          </cell>
          <cell r="D37">
            <v>69480716.82</v>
          </cell>
          <cell r="E37">
            <v>71915606.16</v>
          </cell>
        </row>
        <row r="37">
          <cell r="G37">
            <v>109240720.03</v>
          </cell>
        </row>
        <row r="38">
          <cell r="A38" t="str">
            <v>Elephant Road</v>
          </cell>
          <cell r="B38">
            <v>6545105.67</v>
          </cell>
          <cell r="C38">
            <v>85864490.97</v>
          </cell>
          <cell r="D38">
            <v>132645489.24</v>
          </cell>
          <cell r="E38">
            <v>151458911.86</v>
          </cell>
        </row>
        <row r="38">
          <cell r="G38">
            <v>196979978.74</v>
          </cell>
        </row>
        <row r="39">
          <cell r="A39" t="str">
            <v>Faridpur</v>
          </cell>
          <cell r="B39">
            <v>56806626.98</v>
          </cell>
          <cell r="C39">
            <v>19014445.16</v>
          </cell>
        </row>
        <row r="39">
          <cell r="G39">
            <v>94933035.45</v>
          </cell>
        </row>
        <row r="40">
          <cell r="A40" t="str">
            <v>Fatullah</v>
          </cell>
          <cell r="B40">
            <v>8365959.18</v>
          </cell>
          <cell r="C40">
            <v>31353956.5</v>
          </cell>
          <cell r="D40">
            <v>12212169.24</v>
          </cell>
          <cell r="E40">
            <v>10406794.02</v>
          </cell>
        </row>
        <row r="40">
          <cell r="G40">
            <v>91652023.08</v>
          </cell>
        </row>
        <row r="41">
          <cell r="A41" t="str">
            <v>Feni</v>
          </cell>
          <cell r="B41">
            <v>21390392.66</v>
          </cell>
          <cell r="C41">
            <v>67779242.8</v>
          </cell>
          <cell r="D41">
            <v>32213906.52</v>
          </cell>
          <cell r="E41">
            <v>35741689.57</v>
          </cell>
        </row>
        <row r="41">
          <cell r="G41">
            <v>132726228.88</v>
          </cell>
        </row>
        <row r="42">
          <cell r="A42" t="str">
            <v>Fulbari</v>
          </cell>
          <cell r="B42">
            <v>16514875.83</v>
          </cell>
          <cell r="C42">
            <v>33294603.51</v>
          </cell>
          <cell r="D42">
            <v>16246514.5</v>
          </cell>
        </row>
        <row r="42">
          <cell r="G42">
            <v>69187204.07</v>
          </cell>
        </row>
        <row r="43">
          <cell r="A43" t="str">
            <v>Gaibandha</v>
          </cell>
          <cell r="B43">
            <v>23409257.3</v>
          </cell>
          <cell r="C43">
            <v>17282374.37</v>
          </cell>
          <cell r="D43">
            <v>49724990.71</v>
          </cell>
          <cell r="E43">
            <v>33456423.55</v>
          </cell>
        </row>
        <row r="43">
          <cell r="G43">
            <v>116276101.04</v>
          </cell>
        </row>
        <row r="44">
          <cell r="A44" t="str">
            <v>Gazipur</v>
          </cell>
          <cell r="B44">
            <v>2056376.1</v>
          </cell>
          <cell r="C44">
            <v>74900163.95</v>
          </cell>
          <cell r="D44">
            <v>29855444.95</v>
          </cell>
          <cell r="E44">
            <v>86739942.45</v>
          </cell>
        </row>
        <row r="44">
          <cell r="G44">
            <v>223254660.07</v>
          </cell>
        </row>
        <row r="45">
          <cell r="A45" t="str">
            <v>Ghatail</v>
          </cell>
          <cell r="B45">
            <v>10995714.11</v>
          </cell>
          <cell r="C45">
            <v>9564454.93</v>
          </cell>
          <cell r="D45">
            <v>24615610.78</v>
          </cell>
          <cell r="E45">
            <v>13566471.29</v>
          </cell>
        </row>
        <row r="45">
          <cell r="G45">
            <v>54633358.31</v>
          </cell>
        </row>
        <row r="46">
          <cell r="A46" t="str">
            <v>Gopalgonj</v>
          </cell>
          <cell r="B46">
            <v>15653024.66</v>
          </cell>
          <cell r="C46">
            <v>32118514.13</v>
          </cell>
          <cell r="D46">
            <v>41389283.19</v>
          </cell>
          <cell r="E46">
            <v>40115123.48</v>
          </cell>
        </row>
        <row r="46">
          <cell r="G46">
            <v>100439297.68</v>
          </cell>
        </row>
        <row r="47">
          <cell r="A47" t="str">
            <v>Gulistan</v>
          </cell>
          <cell r="B47">
            <v>1527135.38</v>
          </cell>
          <cell r="C47">
            <v>80715960.68</v>
          </cell>
          <cell r="D47">
            <v>139237264.35</v>
          </cell>
          <cell r="E47">
            <v>77479552.31</v>
          </cell>
        </row>
        <row r="47">
          <cell r="G47">
            <v>221989526.79</v>
          </cell>
        </row>
        <row r="48">
          <cell r="A48" t="str">
            <v>Halishahar</v>
          </cell>
          <cell r="B48">
            <v>9993354.77</v>
          </cell>
          <cell r="C48">
            <v>66356326.91</v>
          </cell>
          <cell r="D48">
            <v>69514163.52</v>
          </cell>
          <cell r="E48">
            <v>29099826.27</v>
          </cell>
        </row>
        <row r="48">
          <cell r="G48">
            <v>179565726.95</v>
          </cell>
        </row>
        <row r="49">
          <cell r="A49" t="str">
            <v>Hasnabad</v>
          </cell>
          <cell r="B49">
            <v>13472169.6</v>
          </cell>
          <cell r="C49">
            <v>38471282.01</v>
          </cell>
          <cell r="D49">
            <v>33464712.13</v>
          </cell>
          <cell r="E49">
            <v>58397076.96</v>
          </cell>
        </row>
        <row r="49">
          <cell r="G49">
            <v>89489980.01</v>
          </cell>
        </row>
        <row r="50">
          <cell r="A50" t="str">
            <v>Hathazari</v>
          </cell>
          <cell r="B50">
            <v>13595125.15</v>
          </cell>
          <cell r="C50">
            <v>74388207.54</v>
          </cell>
          <cell r="D50">
            <v>34743307.22</v>
          </cell>
          <cell r="E50">
            <v>23362357.71</v>
          </cell>
        </row>
        <row r="50">
          <cell r="G50">
            <v>189626310.76</v>
          </cell>
        </row>
        <row r="51">
          <cell r="A51" t="str">
            <v>Hazigonj</v>
          </cell>
          <cell r="B51">
            <v>25657945.27</v>
          </cell>
          <cell r="C51">
            <v>41625692.2</v>
          </cell>
          <cell r="D51">
            <v>19314695.69</v>
          </cell>
          <cell r="E51">
            <v>11590888.78</v>
          </cell>
        </row>
        <row r="51">
          <cell r="G51">
            <v>118908766.51</v>
          </cell>
        </row>
        <row r="52">
          <cell r="A52" t="str">
            <v>Hobigonj</v>
          </cell>
          <cell r="B52">
            <v>114637795.53</v>
          </cell>
          <cell r="C52">
            <v>12444677.48</v>
          </cell>
          <cell r="D52">
            <v>987518.13</v>
          </cell>
        </row>
        <row r="52">
          <cell r="G52">
            <v>30544879.48</v>
          </cell>
        </row>
        <row r="53">
          <cell r="A53" t="str">
            <v>Imamgonj</v>
          </cell>
          <cell r="B53">
            <v>3347535.29</v>
          </cell>
          <cell r="C53">
            <v>83207772.93</v>
          </cell>
          <cell r="D53">
            <v>98005301.59</v>
          </cell>
          <cell r="E53">
            <v>103133664.03</v>
          </cell>
        </row>
        <row r="53">
          <cell r="G53">
            <v>131739871.96</v>
          </cell>
        </row>
        <row r="54">
          <cell r="A54" t="str">
            <v>Ishwardi</v>
          </cell>
          <cell r="B54">
            <v>10450073.25</v>
          </cell>
          <cell r="C54">
            <v>57676283.68</v>
          </cell>
          <cell r="D54">
            <v>94735226.8</v>
          </cell>
          <cell r="E54">
            <v>65456249.93</v>
          </cell>
        </row>
        <row r="54">
          <cell r="G54">
            <v>153644730.85</v>
          </cell>
        </row>
        <row r="55">
          <cell r="A55" t="str">
            <v>Islambagh</v>
          </cell>
          <cell r="B55">
            <v>5159248.5</v>
          </cell>
          <cell r="C55">
            <v>71541790.64</v>
          </cell>
          <cell r="D55">
            <v>89995691.58</v>
          </cell>
          <cell r="E55">
            <v>53523969.26</v>
          </cell>
        </row>
        <row r="55">
          <cell r="G55">
            <v>151922083.55</v>
          </cell>
        </row>
        <row r="56">
          <cell r="A56" t="str">
            <v>Islampur Road</v>
          </cell>
          <cell r="B56">
            <v>2660244.62</v>
          </cell>
          <cell r="C56">
            <v>107478378.9</v>
          </cell>
          <cell r="D56">
            <v>98447652.79</v>
          </cell>
          <cell r="E56">
            <v>80656714.33</v>
          </cell>
        </row>
        <row r="56">
          <cell r="G56">
            <v>280358143.73</v>
          </cell>
        </row>
        <row r="57">
          <cell r="A57" t="str">
            <v>Jamalpur</v>
          </cell>
          <cell r="B57">
            <v>3105506.82</v>
          </cell>
        </row>
        <row r="57">
          <cell r="G57">
            <v>38545491.14</v>
          </cell>
        </row>
        <row r="58">
          <cell r="A58" t="str">
            <v>Jatrabari</v>
          </cell>
          <cell r="B58">
            <v>4327894.78</v>
          </cell>
          <cell r="C58">
            <v>114175640.38</v>
          </cell>
          <cell r="D58">
            <v>51140499.4</v>
          </cell>
          <cell r="E58">
            <v>73124173.51</v>
          </cell>
        </row>
        <row r="58">
          <cell r="G58">
            <v>249469160.29</v>
          </cell>
        </row>
        <row r="59">
          <cell r="A59" t="str">
            <v>Jessore</v>
          </cell>
          <cell r="B59">
            <v>16408484.09</v>
          </cell>
          <cell r="C59">
            <v>98734282.7</v>
          </cell>
          <cell r="D59">
            <v>118931426.94</v>
          </cell>
          <cell r="E59">
            <v>26022432.08</v>
          </cell>
        </row>
        <row r="59">
          <cell r="G59">
            <v>258852348.23</v>
          </cell>
        </row>
        <row r="60">
          <cell r="A60" t="str">
            <v>Jhenaidah</v>
          </cell>
          <cell r="B60">
            <v>19720816.23</v>
          </cell>
          <cell r="C60">
            <v>39520529.03</v>
          </cell>
          <cell r="D60">
            <v>9923292.26</v>
          </cell>
          <cell r="E60">
            <v>24613947.9</v>
          </cell>
        </row>
        <row r="60">
          <cell r="G60">
            <v>171382557.56</v>
          </cell>
        </row>
        <row r="61">
          <cell r="A61" t="str">
            <v>Jikorgacha</v>
          </cell>
          <cell r="B61">
            <v>29023859.55</v>
          </cell>
          <cell r="C61">
            <v>23261857.48</v>
          </cell>
          <cell r="D61">
            <v>22499930.76</v>
          </cell>
          <cell r="E61">
            <v>5323331.79</v>
          </cell>
        </row>
        <row r="61">
          <cell r="G61">
            <v>141401427.67</v>
          </cell>
        </row>
        <row r="62">
          <cell r="A62" t="str">
            <v>Joydebpur</v>
          </cell>
          <cell r="B62">
            <v>4684108.15</v>
          </cell>
          <cell r="C62">
            <v>54081026.11</v>
          </cell>
          <cell r="D62">
            <v>25360110.54</v>
          </cell>
          <cell r="E62">
            <v>71531585.2</v>
          </cell>
        </row>
        <row r="62">
          <cell r="G62">
            <v>213594497.52</v>
          </cell>
        </row>
        <row r="63">
          <cell r="A63" t="str">
            <v>Joypurhat</v>
          </cell>
          <cell r="B63">
            <v>6917988.49</v>
          </cell>
          <cell r="C63">
            <v>14661636.79</v>
          </cell>
          <cell r="D63">
            <v>64131826.2</v>
          </cell>
          <cell r="E63">
            <v>58173332.15</v>
          </cell>
        </row>
        <row r="63">
          <cell r="G63">
            <v>74675264.02</v>
          </cell>
        </row>
        <row r="64">
          <cell r="A64" t="str">
            <v>Kadamtali</v>
          </cell>
          <cell r="B64">
            <v>1798733.12</v>
          </cell>
          <cell r="C64">
            <v>40284835.5</v>
          </cell>
          <cell r="D64">
            <v>36318807.92</v>
          </cell>
        </row>
        <row r="64">
          <cell r="G64">
            <v>166955856.36</v>
          </cell>
        </row>
        <row r="65">
          <cell r="A65" t="str">
            <v>Kaliakair</v>
          </cell>
        </row>
        <row r="65">
          <cell r="D65">
            <v>8000000</v>
          </cell>
        </row>
        <row r="66">
          <cell r="A66" t="str">
            <v>Kalurghat</v>
          </cell>
          <cell r="B66">
            <v>2164276.11</v>
          </cell>
          <cell r="C66">
            <v>53774969.17</v>
          </cell>
          <cell r="D66">
            <v>22110019.01</v>
          </cell>
          <cell r="E66">
            <v>26069026.84</v>
          </cell>
        </row>
        <row r="66">
          <cell r="G66">
            <v>153216277.86</v>
          </cell>
        </row>
        <row r="67">
          <cell r="A67" t="str">
            <v>Kamrangirchar</v>
          </cell>
          <cell r="B67">
            <v>18977755.07</v>
          </cell>
          <cell r="C67">
            <v>88356580.52</v>
          </cell>
          <cell r="D67">
            <v>54659009.42</v>
          </cell>
          <cell r="E67">
            <v>8447447.05</v>
          </cell>
        </row>
        <row r="67">
          <cell r="G67">
            <v>194892538.79</v>
          </cell>
        </row>
        <row r="68">
          <cell r="A68" t="str">
            <v>Kazipara</v>
          </cell>
          <cell r="B68">
            <v>5446539.87</v>
          </cell>
          <cell r="C68">
            <v>26109493.03</v>
          </cell>
          <cell r="D68">
            <v>59813463.82</v>
          </cell>
          <cell r="E68">
            <v>82292934</v>
          </cell>
        </row>
        <row r="68">
          <cell r="G68">
            <v>83817912.75</v>
          </cell>
        </row>
        <row r="69">
          <cell r="A69" t="str">
            <v>Keranigonj</v>
          </cell>
          <cell r="B69">
            <v>9551557.31</v>
          </cell>
          <cell r="C69">
            <v>65420654.05</v>
          </cell>
          <cell r="D69">
            <v>65245274.41</v>
          </cell>
          <cell r="E69">
            <v>20372462.86</v>
          </cell>
        </row>
        <row r="69">
          <cell r="G69">
            <v>194627274.25</v>
          </cell>
        </row>
        <row r="70">
          <cell r="A70" t="str">
            <v>Keshobpur</v>
          </cell>
          <cell r="B70">
            <v>27553000.14</v>
          </cell>
          <cell r="C70">
            <v>59558317.17</v>
          </cell>
          <cell r="D70">
            <v>21888290.88</v>
          </cell>
          <cell r="E70">
            <v>27101851.77</v>
          </cell>
        </row>
        <row r="70">
          <cell r="G70">
            <v>181149259.28</v>
          </cell>
        </row>
        <row r="71">
          <cell r="A71" t="str">
            <v>Khatungonj</v>
          </cell>
          <cell r="B71">
            <v>542321.66</v>
          </cell>
          <cell r="C71">
            <v>84811968.03</v>
          </cell>
          <cell r="D71">
            <v>101942792.54</v>
          </cell>
          <cell r="E71">
            <v>62099026.04</v>
          </cell>
        </row>
        <row r="71">
          <cell r="G71">
            <v>176768526.68</v>
          </cell>
        </row>
        <row r="72">
          <cell r="A72" t="str">
            <v>Khulna</v>
          </cell>
          <cell r="B72">
            <v>12002405.18</v>
          </cell>
          <cell r="C72">
            <v>152409603.69</v>
          </cell>
          <cell r="D72">
            <v>119380680.7</v>
          </cell>
          <cell r="E72">
            <v>70245460.54</v>
          </cell>
        </row>
        <row r="72">
          <cell r="G72">
            <v>261238768.17</v>
          </cell>
        </row>
        <row r="73">
          <cell r="A73" t="str">
            <v>Konabari</v>
          </cell>
          <cell r="B73">
            <v>5600706.16</v>
          </cell>
          <cell r="C73">
            <v>68430804.14</v>
          </cell>
          <cell r="D73">
            <v>27035996.69</v>
          </cell>
          <cell r="E73">
            <v>116617194.12</v>
          </cell>
        </row>
        <row r="73">
          <cell r="G73">
            <v>286143867.76</v>
          </cell>
        </row>
        <row r="74">
          <cell r="A74" t="str">
            <v>Kosba</v>
          </cell>
          <cell r="B74">
            <v>47314268</v>
          </cell>
          <cell r="C74">
            <v>5587907.28</v>
          </cell>
        </row>
        <row r="74">
          <cell r="G74">
            <v>36829384.93</v>
          </cell>
        </row>
        <row r="75">
          <cell r="A75" t="str">
            <v>Kotiadi</v>
          </cell>
          <cell r="B75">
            <v>62748936.67</v>
          </cell>
        </row>
        <row r="75">
          <cell r="G75">
            <v>36721519.58</v>
          </cell>
        </row>
        <row r="76">
          <cell r="A76" t="str">
            <v>Kulaura </v>
          </cell>
          <cell r="B76">
            <v>74025922.93</v>
          </cell>
        </row>
        <row r="77">
          <cell r="A77" t="str">
            <v>Kurigram</v>
          </cell>
          <cell r="B77">
            <v>76018844.7200001</v>
          </cell>
          <cell r="C77">
            <v>28796791</v>
          </cell>
          <cell r="D77">
            <v>23829341.54</v>
          </cell>
          <cell r="E77">
            <v>15000000</v>
          </cell>
        </row>
        <row r="77">
          <cell r="G77">
            <v>95603171.25</v>
          </cell>
        </row>
        <row r="78">
          <cell r="A78" t="str">
            <v>Kushtia</v>
          </cell>
          <cell r="B78">
            <v>10882700.17</v>
          </cell>
          <cell r="C78">
            <v>43390848.09</v>
          </cell>
          <cell r="D78">
            <v>50793341.91</v>
          </cell>
          <cell r="E78">
            <v>43654566.19</v>
          </cell>
        </row>
        <row r="78">
          <cell r="G78">
            <v>184273809.15</v>
          </cell>
        </row>
        <row r="79">
          <cell r="A79" t="str">
            <v>Laksham</v>
          </cell>
          <cell r="B79">
            <v>57932194.29</v>
          </cell>
          <cell r="C79">
            <v>14337802.38</v>
          </cell>
        </row>
        <row r="79">
          <cell r="G79">
            <v>53027898.78</v>
          </cell>
        </row>
        <row r="80">
          <cell r="A80" t="str">
            <v>Laxmipur</v>
          </cell>
          <cell r="B80">
            <v>21379489.5</v>
          </cell>
          <cell r="C80">
            <v>24303384.7</v>
          </cell>
          <cell r="D80">
            <v>6488006.67</v>
          </cell>
          <cell r="E80">
            <v>14602362.29</v>
          </cell>
        </row>
        <row r="80">
          <cell r="G80">
            <v>70739117.51</v>
          </cell>
        </row>
        <row r="81">
          <cell r="A81" t="str">
            <v>Lohagora, CTG</v>
          </cell>
          <cell r="B81">
            <v>24766178.31</v>
          </cell>
          <cell r="C81">
            <v>19416002.08</v>
          </cell>
          <cell r="D81">
            <v>7216736.88</v>
          </cell>
          <cell r="E81">
            <v>11510315.63</v>
          </cell>
        </row>
        <row r="81">
          <cell r="G81">
            <v>116741434.4</v>
          </cell>
        </row>
        <row r="82">
          <cell r="A82" t="str">
            <v>Madhabpur</v>
          </cell>
          <cell r="B82">
            <v>78622633.95</v>
          </cell>
          <cell r="C82">
            <v>24033561.57</v>
          </cell>
        </row>
        <row r="82">
          <cell r="G82">
            <v>71105126.51</v>
          </cell>
        </row>
        <row r="83">
          <cell r="A83" t="str">
            <v>Magura</v>
          </cell>
          <cell r="B83">
            <v>25658646.67</v>
          </cell>
          <cell r="C83">
            <v>2950580.26</v>
          </cell>
        </row>
        <row r="83">
          <cell r="G83">
            <v>90963255.44</v>
          </cell>
        </row>
        <row r="84">
          <cell r="A84" t="str">
            <v>Maijdee</v>
          </cell>
          <cell r="B84">
            <v>60150591.03</v>
          </cell>
          <cell r="C84">
            <v>4577563.33</v>
          </cell>
        </row>
        <row r="84">
          <cell r="E84">
            <v>38457721.4</v>
          </cell>
        </row>
        <row r="84">
          <cell r="G84">
            <v>100672772.57</v>
          </cell>
        </row>
        <row r="85">
          <cell r="A85" t="str">
            <v>Manikgonj</v>
          </cell>
          <cell r="B85">
            <v>16087052.08</v>
          </cell>
          <cell r="C85">
            <v>12364768.01</v>
          </cell>
          <cell r="D85">
            <v>7343066.46</v>
          </cell>
        </row>
        <row r="85">
          <cell r="G85">
            <v>22721915.98</v>
          </cell>
        </row>
        <row r="86">
          <cell r="A86" t="str">
            <v>Mirpur</v>
          </cell>
          <cell r="B86">
            <v>5477773.61</v>
          </cell>
          <cell r="C86">
            <v>137900183.35</v>
          </cell>
          <cell r="D86">
            <v>124303468.47</v>
          </cell>
          <cell r="E86">
            <v>162337828.7</v>
          </cell>
        </row>
        <row r="86">
          <cell r="G86">
            <v>274092319.89</v>
          </cell>
        </row>
        <row r="87">
          <cell r="A87" t="str">
            <v>Moghbazar</v>
          </cell>
          <cell r="B87">
            <v>2993566.97</v>
          </cell>
          <cell r="C87">
            <v>114491473.98</v>
          </cell>
          <cell r="D87">
            <v>97031760.71</v>
          </cell>
          <cell r="E87">
            <v>141740534.38</v>
          </cell>
        </row>
        <row r="87">
          <cell r="G87">
            <v>184098757.94</v>
          </cell>
        </row>
        <row r="88">
          <cell r="A88" t="str">
            <v>Mohammadpur</v>
          </cell>
          <cell r="B88">
            <v>6215598.96</v>
          </cell>
          <cell r="C88">
            <v>47325839.18</v>
          </cell>
          <cell r="D88">
            <v>34102622.3</v>
          </cell>
        </row>
        <row r="88">
          <cell r="G88">
            <v>214761517.27</v>
          </cell>
        </row>
        <row r="89">
          <cell r="A89" t="str">
            <v>Mymensingh</v>
          </cell>
          <cell r="B89">
            <v>4021086.89</v>
          </cell>
          <cell r="C89">
            <v>41921593.54</v>
          </cell>
          <cell r="D89">
            <v>23491142.41</v>
          </cell>
          <cell r="E89">
            <v>75264039.64</v>
          </cell>
        </row>
        <row r="89">
          <cell r="G89">
            <v>270722291.11</v>
          </cell>
        </row>
        <row r="90">
          <cell r="A90" t="str">
            <v>Nangolkot</v>
          </cell>
          <cell r="B90">
            <v>124556430.45</v>
          </cell>
        </row>
        <row r="90">
          <cell r="G90">
            <v>23635938.79</v>
          </cell>
        </row>
        <row r="91">
          <cell r="A91" t="str">
            <v>Naogaon</v>
          </cell>
          <cell r="B91">
            <v>29411233.98</v>
          </cell>
          <cell r="C91">
            <v>55513307.33</v>
          </cell>
          <cell r="D91">
            <v>50107955.93</v>
          </cell>
          <cell r="E91">
            <v>130590508.6</v>
          </cell>
        </row>
        <row r="91">
          <cell r="G91">
            <v>148152215.31</v>
          </cell>
        </row>
        <row r="92">
          <cell r="A92" t="str">
            <v>Narail</v>
          </cell>
          <cell r="B92">
            <v>28935659.19</v>
          </cell>
          <cell r="C92">
            <v>26131381.87</v>
          </cell>
          <cell r="D92">
            <v>10173290.53</v>
          </cell>
          <cell r="E92">
            <v>11390781.19</v>
          </cell>
        </row>
        <row r="92">
          <cell r="G92">
            <v>104014380.4</v>
          </cell>
        </row>
        <row r="93">
          <cell r="A93" t="str">
            <v>Narayangonj</v>
          </cell>
          <cell r="B93">
            <v>8176734.14</v>
          </cell>
          <cell r="C93">
            <v>72626976.92</v>
          </cell>
          <cell r="D93">
            <v>72874875.85</v>
          </cell>
          <cell r="E93">
            <v>99474907.82</v>
          </cell>
        </row>
        <row r="93">
          <cell r="G93">
            <v>167928960.14</v>
          </cell>
        </row>
        <row r="94">
          <cell r="A94" t="str">
            <v>Narsingdi</v>
          </cell>
          <cell r="B94">
            <v>29689576.95</v>
          </cell>
          <cell r="C94">
            <v>71929795.81</v>
          </cell>
          <cell r="D94">
            <v>129495971.99</v>
          </cell>
          <cell r="E94">
            <v>95617757.33</v>
          </cell>
        </row>
        <row r="94">
          <cell r="G94">
            <v>297635491.83</v>
          </cell>
        </row>
        <row r="95">
          <cell r="A95" t="str">
            <v>Nawabgonj</v>
          </cell>
          <cell r="B95">
            <v>70716323.14</v>
          </cell>
          <cell r="C95">
            <v>2114463.21</v>
          </cell>
        </row>
        <row r="95">
          <cell r="G95">
            <v>74294669.19</v>
          </cell>
        </row>
        <row r="96">
          <cell r="A96" t="str">
            <v>Nawabpur</v>
          </cell>
          <cell r="B96">
            <v>2267935.58</v>
          </cell>
          <cell r="C96">
            <v>55091603.32</v>
          </cell>
          <cell r="D96">
            <v>112924265.19</v>
          </cell>
          <cell r="E96">
            <v>85783517.03</v>
          </cell>
        </row>
        <row r="96">
          <cell r="G96">
            <v>227621185</v>
          </cell>
        </row>
        <row r="97">
          <cell r="A97" t="str">
            <v>Nondon Kanon</v>
          </cell>
          <cell r="B97">
            <v>6035712.42</v>
          </cell>
          <cell r="C97">
            <v>101786878.3</v>
          </cell>
          <cell r="D97">
            <v>75552297.63</v>
          </cell>
          <cell r="E97">
            <v>45830537.51</v>
          </cell>
        </row>
        <row r="97">
          <cell r="G97">
            <v>273864950.73</v>
          </cell>
        </row>
        <row r="98">
          <cell r="A98" t="str">
            <v>Pabna</v>
          </cell>
          <cell r="B98">
            <v>21509909.89</v>
          </cell>
          <cell r="C98">
            <v>57940967.67</v>
          </cell>
          <cell r="D98">
            <v>80095591.08</v>
          </cell>
          <cell r="E98">
            <v>72852336.08</v>
          </cell>
        </row>
        <row r="98">
          <cell r="G98">
            <v>213449824.43</v>
          </cell>
        </row>
        <row r="99">
          <cell r="A99" t="str">
            <v>Pahartali</v>
          </cell>
          <cell r="B99">
            <v>13557394.53</v>
          </cell>
          <cell r="C99">
            <v>87383524.24</v>
          </cell>
          <cell r="D99">
            <v>32158343.69</v>
          </cell>
        </row>
        <row r="99">
          <cell r="G99">
            <v>196215186.89</v>
          </cell>
        </row>
        <row r="100">
          <cell r="A100" t="str">
            <v>Panchaghar</v>
          </cell>
          <cell r="B100">
            <v>26026087.81</v>
          </cell>
          <cell r="C100">
            <v>6332704.23</v>
          </cell>
          <cell r="D100">
            <v>2180947.71</v>
          </cell>
        </row>
        <row r="100">
          <cell r="G100">
            <v>100773081.21</v>
          </cell>
        </row>
        <row r="101">
          <cell r="A101" t="str">
            <v>Patuakhali</v>
          </cell>
          <cell r="B101">
            <v>26748565.6</v>
          </cell>
          <cell r="C101">
            <v>33432480</v>
          </cell>
          <cell r="D101">
            <v>8003924.68</v>
          </cell>
        </row>
        <row r="101">
          <cell r="G101">
            <v>152351596.93</v>
          </cell>
        </row>
        <row r="102">
          <cell r="A102" t="str">
            <v>Potiya</v>
          </cell>
          <cell r="B102">
            <v>18069454.04</v>
          </cell>
          <cell r="C102">
            <v>14044519.33</v>
          </cell>
          <cell r="D102">
            <v>21765208.61</v>
          </cell>
        </row>
        <row r="102">
          <cell r="G102">
            <v>125054948.26</v>
          </cell>
        </row>
        <row r="103">
          <cell r="A103" t="str">
            <v>Rajbari</v>
          </cell>
          <cell r="B103">
            <v>39125275.9</v>
          </cell>
          <cell r="C103">
            <v>39118684.45</v>
          </cell>
          <cell r="D103">
            <v>9594335.24</v>
          </cell>
          <cell r="E103">
            <v>8376263.91</v>
          </cell>
        </row>
        <row r="103">
          <cell r="G103">
            <v>74899717.42</v>
          </cell>
        </row>
        <row r="104">
          <cell r="A104" t="str">
            <v>Rajshahi</v>
          </cell>
          <cell r="B104">
            <v>14990510.68</v>
          </cell>
          <cell r="C104">
            <v>68349228.57</v>
          </cell>
          <cell r="D104">
            <v>57331979.76</v>
          </cell>
          <cell r="E104">
            <v>29117649.66</v>
          </cell>
        </row>
        <row r="104">
          <cell r="G104">
            <v>295794041.76</v>
          </cell>
        </row>
        <row r="105">
          <cell r="A105" t="str">
            <v>Rangpur</v>
          </cell>
          <cell r="B105">
            <v>29500458.46</v>
          </cell>
          <cell r="C105">
            <v>30591366.25</v>
          </cell>
          <cell r="D105">
            <v>28138930.69</v>
          </cell>
          <cell r="E105">
            <v>150379989.53</v>
          </cell>
        </row>
        <row r="105">
          <cell r="G105">
            <v>129406236.83</v>
          </cell>
        </row>
        <row r="106">
          <cell r="A106" t="str">
            <v>Sathkhira</v>
          </cell>
          <cell r="B106">
            <v>10264216.93</v>
          </cell>
          <cell r="C106">
            <v>12218540.63</v>
          </cell>
        </row>
        <row r="106">
          <cell r="G106">
            <v>30016588.84</v>
          </cell>
        </row>
        <row r="107">
          <cell r="A107" t="str">
            <v>Savar</v>
          </cell>
          <cell r="B107">
            <v>4844664.77</v>
          </cell>
          <cell r="C107">
            <v>58339471.84</v>
          </cell>
          <cell r="D107">
            <v>78829365.36</v>
          </cell>
          <cell r="E107">
            <v>35113503.38</v>
          </cell>
        </row>
        <row r="107">
          <cell r="G107">
            <v>131850139.03</v>
          </cell>
        </row>
        <row r="108">
          <cell r="A108" t="str">
            <v>Savar-2</v>
          </cell>
          <cell r="B108">
            <v>10515206.07</v>
          </cell>
          <cell r="C108">
            <v>41404879.72</v>
          </cell>
          <cell r="D108">
            <v>49528684.2</v>
          </cell>
          <cell r="E108">
            <v>212477353.93</v>
          </cell>
        </row>
        <row r="108">
          <cell r="G108">
            <v>90633567.67</v>
          </cell>
        </row>
        <row r="109">
          <cell r="A109" t="str">
            <v>Shaheshtagonj</v>
          </cell>
          <cell r="B109">
            <v>152498931.73</v>
          </cell>
        </row>
        <row r="109">
          <cell r="G109">
            <v>30841131.04</v>
          </cell>
        </row>
        <row r="110">
          <cell r="A110" t="str">
            <v>Shambazar</v>
          </cell>
          <cell r="B110">
            <v>2848721.57</v>
          </cell>
          <cell r="C110">
            <v>141782397.67</v>
          </cell>
          <cell r="D110">
            <v>97470445.5</v>
          </cell>
          <cell r="E110">
            <v>86640651.38</v>
          </cell>
        </row>
        <row r="110">
          <cell r="G110">
            <v>344782034.37</v>
          </cell>
        </row>
        <row r="111">
          <cell r="A111" t="str">
            <v>Shariatpur</v>
          </cell>
          <cell r="B111">
            <v>12867777.48</v>
          </cell>
          <cell r="C111">
            <v>51628608.56</v>
          </cell>
          <cell r="D111">
            <v>13839695.89</v>
          </cell>
          <cell r="E111">
            <v>101302329.36</v>
          </cell>
        </row>
        <row r="111">
          <cell r="G111">
            <v>130667169.4</v>
          </cell>
        </row>
        <row r="112">
          <cell r="A112" t="str">
            <v>Sherpur</v>
          </cell>
        </row>
        <row r="112">
          <cell r="C112">
            <v>14067569.85</v>
          </cell>
          <cell r="D112">
            <v>7589278.21</v>
          </cell>
          <cell r="E112">
            <v>8372877.47</v>
          </cell>
        </row>
        <row r="112">
          <cell r="G112">
            <v>75042232.13</v>
          </cell>
        </row>
        <row r="113">
          <cell r="A113" t="str">
            <v>Shiddirgonj</v>
          </cell>
          <cell r="B113">
            <v>7469529.5</v>
          </cell>
          <cell r="C113">
            <v>48859067.12</v>
          </cell>
          <cell r="D113">
            <v>53749183.06</v>
          </cell>
          <cell r="E113">
            <v>12141187.47</v>
          </cell>
        </row>
        <row r="113">
          <cell r="G113">
            <v>209438505.03</v>
          </cell>
        </row>
        <row r="114">
          <cell r="A114" t="str">
            <v>Sirajgonj</v>
          </cell>
          <cell r="B114">
            <v>20760539.44</v>
          </cell>
          <cell r="C114">
            <v>44245050.24</v>
          </cell>
          <cell r="D114">
            <v>88751988.27</v>
          </cell>
        </row>
        <row r="114">
          <cell r="G114">
            <v>144971527.62</v>
          </cell>
        </row>
        <row r="115">
          <cell r="A115" t="str">
            <v>Sonir Akhra</v>
          </cell>
          <cell r="B115">
            <v>1903722.7</v>
          </cell>
          <cell r="C115">
            <v>44528534.35</v>
          </cell>
          <cell r="D115">
            <v>96734376.37</v>
          </cell>
          <cell r="E115">
            <v>92566389.75</v>
          </cell>
        </row>
        <row r="115">
          <cell r="G115">
            <v>139402697.72</v>
          </cell>
        </row>
        <row r="116">
          <cell r="A116" t="str">
            <v>South Surma</v>
          </cell>
          <cell r="B116">
            <v>16685420.74</v>
          </cell>
          <cell r="C116">
            <v>36067669.68</v>
          </cell>
          <cell r="D116">
            <v>22676620.06</v>
          </cell>
        </row>
        <row r="116">
          <cell r="G116">
            <v>39303405.85</v>
          </cell>
        </row>
        <row r="117">
          <cell r="A117" t="str">
            <v>Sreenagar</v>
          </cell>
          <cell r="B117">
            <v>44291445.16</v>
          </cell>
        </row>
        <row r="117">
          <cell r="G117">
            <v>17363335.74</v>
          </cell>
        </row>
        <row r="118">
          <cell r="A118" t="str">
            <v>Sreepur</v>
          </cell>
          <cell r="B118">
            <v>4902759.55</v>
          </cell>
          <cell r="C118">
            <v>76593412.38</v>
          </cell>
          <cell r="D118">
            <v>37992837.48</v>
          </cell>
          <cell r="E118">
            <v>134914290.86</v>
          </cell>
        </row>
        <row r="118">
          <cell r="G118">
            <v>273658222.33</v>
          </cell>
        </row>
        <row r="119">
          <cell r="A119" t="str">
            <v>Swarupkathi</v>
          </cell>
          <cell r="B119">
            <v>36393834.78</v>
          </cell>
          <cell r="C119">
            <v>12042390.47</v>
          </cell>
        </row>
        <row r="119">
          <cell r="G119">
            <v>77415207.6</v>
          </cell>
        </row>
        <row r="120">
          <cell r="A120" t="str">
            <v>Syedpur</v>
          </cell>
          <cell r="B120">
            <v>19809192.72</v>
          </cell>
          <cell r="C120">
            <v>19249523.63</v>
          </cell>
          <cell r="D120">
            <v>15285350.15</v>
          </cell>
          <cell r="E120">
            <v>12757822.11</v>
          </cell>
        </row>
        <row r="120">
          <cell r="G120">
            <v>117777140</v>
          </cell>
        </row>
        <row r="121">
          <cell r="A121" t="str">
            <v>Tangail</v>
          </cell>
          <cell r="B121">
            <v>24550445.91</v>
          </cell>
          <cell r="C121">
            <v>35336393.22</v>
          </cell>
          <cell r="D121">
            <v>51965163.95</v>
          </cell>
          <cell r="E121">
            <v>9154280.98</v>
          </cell>
        </row>
        <row r="121">
          <cell r="G121">
            <v>95759584.32</v>
          </cell>
        </row>
        <row r="122">
          <cell r="A122" t="str">
            <v>Thakurgaon</v>
          </cell>
          <cell r="B122">
            <v>17507899.21</v>
          </cell>
          <cell r="C122">
            <v>25391659.78</v>
          </cell>
          <cell r="D122">
            <v>26752271.27</v>
          </cell>
          <cell r="E122">
            <v>20077658.31</v>
          </cell>
        </row>
        <row r="122">
          <cell r="G122">
            <v>122781482.38</v>
          </cell>
        </row>
        <row r="123">
          <cell r="A123" t="str">
            <v>Tongi</v>
          </cell>
          <cell r="B123">
            <v>14152287.18</v>
          </cell>
          <cell r="C123">
            <v>38211282.42</v>
          </cell>
          <cell r="D123">
            <v>18314780.89</v>
          </cell>
          <cell r="E123">
            <v>98851467.42</v>
          </cell>
        </row>
        <row r="123">
          <cell r="G123">
            <v>195227940.42</v>
          </cell>
        </row>
        <row r="124">
          <cell r="A124" t="str">
            <v>Zinzira</v>
          </cell>
          <cell r="B124">
            <v>18300342.61</v>
          </cell>
          <cell r="C124">
            <v>64729583.32</v>
          </cell>
          <cell r="D124">
            <v>53109349.83</v>
          </cell>
          <cell r="E124">
            <v>8957753.41</v>
          </cell>
        </row>
        <row r="124">
          <cell r="G124">
            <v>112583541.78</v>
          </cell>
        </row>
        <row r="125">
          <cell r="A125" t="str">
            <v>Zurain</v>
          </cell>
        </row>
        <row r="125">
          <cell r="G125">
            <v>6500000</v>
          </cell>
        </row>
      </sheetData>
      <sheetData sheetId="2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erritory &amp; Region"/>
      <sheetName val="Unit wise"/>
      <sheetName val="Area wise"/>
      <sheetName val="Sheet7"/>
      <sheetName val="Sheet9"/>
      <sheetName val="IB_Pivot"/>
      <sheetName val="Ticket Size Wise Details-IB"/>
      <sheetName val="FVL"/>
      <sheetName val="Sheet1"/>
      <sheetName val="Sheet2"/>
      <sheetName val="Sheet3"/>
      <sheetName val="IB"/>
      <sheetName val="Sheet5"/>
      <sheetName val="SB_Ticket Size Wise"/>
      <sheetName val="ticket_pivot"/>
      <sheetName val="Month Wise Details-WR"/>
      <sheetName val="Ticket Size Wise Details-SB"/>
      <sheetName val="NPL"/>
      <sheetName val="PAR"/>
      <sheetName val="Sheet12"/>
      <sheetName val="S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4">
          <cell r="A4" t="str">
            <v>Agailjhara</v>
          </cell>
          <cell r="B4">
            <v>10864751.84</v>
          </cell>
          <cell r="C4">
            <v>9398521.72</v>
          </cell>
          <cell r="D4">
            <v>9377547.94</v>
          </cell>
        </row>
        <row r="5">
          <cell r="A5" t="str">
            <v>Ambarkhana</v>
          </cell>
          <cell r="B5">
            <v>8441544.91</v>
          </cell>
          <cell r="C5">
            <v>8266131.08</v>
          </cell>
          <cell r="D5">
            <v>8232068.94</v>
          </cell>
        </row>
        <row r="6">
          <cell r="A6" t="str">
            <v>Anderkilla</v>
          </cell>
          <cell r="B6">
            <v>12376854.52</v>
          </cell>
          <cell r="C6">
            <v>11873368.16</v>
          </cell>
          <cell r="D6">
            <v>11597864.39</v>
          </cell>
        </row>
        <row r="7">
          <cell r="A7" t="str">
            <v>Ashulia</v>
          </cell>
          <cell r="B7">
            <v>1850093.09</v>
          </cell>
          <cell r="C7">
            <v>1846730.19</v>
          </cell>
          <cell r="D7">
            <v>1845413.91</v>
          </cell>
        </row>
        <row r="8">
          <cell r="A8" t="str">
            <v>Badda</v>
          </cell>
          <cell r="B8">
            <v>9903095.25</v>
          </cell>
          <cell r="C8">
            <v>9550463.57</v>
          </cell>
          <cell r="D8">
            <v>8209262.2</v>
          </cell>
        </row>
        <row r="9">
          <cell r="A9" t="str">
            <v>Bagerhat</v>
          </cell>
          <cell r="B9">
            <v>7763400.03</v>
          </cell>
          <cell r="C9">
            <v>7380467.93</v>
          </cell>
          <cell r="D9">
            <v>7195434.5</v>
          </cell>
        </row>
        <row r="10">
          <cell r="A10" t="str">
            <v>Baligaon</v>
          </cell>
          <cell r="B10">
            <v>4861988.84</v>
          </cell>
          <cell r="C10">
            <v>4854331.91</v>
          </cell>
          <cell r="D10">
            <v>4849235.25</v>
          </cell>
        </row>
        <row r="11">
          <cell r="A11" t="str">
            <v>Banasree</v>
          </cell>
          <cell r="B11">
            <v>8755906</v>
          </cell>
          <cell r="C11">
            <v>8394281.58</v>
          </cell>
          <cell r="D11">
            <v>8338238.82</v>
          </cell>
        </row>
        <row r="12">
          <cell r="A12" t="str">
            <v>Bancharampur</v>
          </cell>
          <cell r="B12">
            <v>5651854.62</v>
          </cell>
          <cell r="C12">
            <v>5490335.64</v>
          </cell>
          <cell r="D12">
            <v>5425560.99</v>
          </cell>
        </row>
        <row r="13">
          <cell r="A13" t="str">
            <v>Bandartila </v>
          </cell>
          <cell r="B13">
            <v>5366765.21</v>
          </cell>
          <cell r="C13">
            <v>5194819.89</v>
          </cell>
          <cell r="D13">
            <v>5050268.49</v>
          </cell>
        </row>
        <row r="14">
          <cell r="A14" t="str">
            <v>Barguna</v>
          </cell>
          <cell r="B14">
            <v>4364067.35</v>
          </cell>
          <cell r="C14">
            <v>4074406.03</v>
          </cell>
          <cell r="D14">
            <v>4070117.85</v>
          </cell>
        </row>
        <row r="15">
          <cell r="A15" t="str">
            <v>Barishal</v>
          </cell>
          <cell r="B15">
            <v>10254447.8</v>
          </cell>
          <cell r="C15">
            <v>10157745.82</v>
          </cell>
          <cell r="D15">
            <v>9939889.3</v>
          </cell>
        </row>
        <row r="16">
          <cell r="A16" t="str">
            <v>Bhanga</v>
          </cell>
          <cell r="B16">
            <v>12307518.19</v>
          </cell>
          <cell r="C16">
            <v>12244740.13</v>
          </cell>
          <cell r="D16">
            <v>12183699.16</v>
          </cell>
        </row>
        <row r="17">
          <cell r="A17" t="str">
            <v>Bharaib</v>
          </cell>
          <cell r="B17">
            <v>7956885.9</v>
          </cell>
          <cell r="C17">
            <v>7773056.02</v>
          </cell>
          <cell r="D17">
            <v>7620256.09</v>
          </cell>
        </row>
        <row r="18">
          <cell r="A18" t="str">
            <v>Bheramara</v>
          </cell>
          <cell r="B18">
            <v>6733847.1</v>
          </cell>
          <cell r="C18">
            <v>6702533.61</v>
          </cell>
          <cell r="D18">
            <v>6648668.94</v>
          </cell>
        </row>
        <row r="19">
          <cell r="A19" t="str">
            <v>Bhola</v>
          </cell>
          <cell r="B19">
            <v>4265228.32</v>
          </cell>
          <cell r="C19">
            <v>4111553.57</v>
          </cell>
          <cell r="D19">
            <v>4084221.87</v>
          </cell>
        </row>
        <row r="20">
          <cell r="A20" t="str">
            <v>Bhulta</v>
          </cell>
          <cell r="B20">
            <v>6913888.64</v>
          </cell>
          <cell r="C20">
            <v>6753059.96</v>
          </cell>
          <cell r="D20">
            <v>6736930.79</v>
          </cell>
        </row>
        <row r="21">
          <cell r="A21" t="str">
            <v>Bogura</v>
          </cell>
          <cell r="B21">
            <v>11896266.95</v>
          </cell>
          <cell r="C21">
            <v>10476633.54</v>
          </cell>
          <cell r="D21">
            <v>10459625.89</v>
          </cell>
        </row>
        <row r="22">
          <cell r="A22" t="str">
            <v>Brahmanbaria</v>
          </cell>
          <cell r="B22">
            <v>10092741.76</v>
          </cell>
          <cell r="C22">
            <v>9696980.28</v>
          </cell>
          <cell r="D22">
            <v>9371075.73</v>
          </cell>
        </row>
        <row r="23">
          <cell r="A23" t="str">
            <v>C. Nawabganj</v>
          </cell>
          <cell r="B23">
            <v>10241164.54</v>
          </cell>
          <cell r="C23">
            <v>10253483.01</v>
          </cell>
          <cell r="D23">
            <v>10241164.54</v>
          </cell>
        </row>
        <row r="24">
          <cell r="A24" t="str">
            <v>Chandina</v>
          </cell>
          <cell r="B24">
            <v>14849651.45</v>
          </cell>
          <cell r="C24">
            <v>14414314.15</v>
          </cell>
          <cell r="D24">
            <v>14313261.26</v>
          </cell>
        </row>
        <row r="25">
          <cell r="A25" t="str">
            <v>Chauddagram</v>
          </cell>
          <cell r="B25">
            <v>10759227.55</v>
          </cell>
          <cell r="C25">
            <v>10233897.17</v>
          </cell>
          <cell r="D25">
            <v>10226120.52</v>
          </cell>
        </row>
        <row r="26">
          <cell r="A26" t="str">
            <v>Chawk Bazar</v>
          </cell>
          <cell r="B26">
            <v>18554925.84</v>
          </cell>
          <cell r="C26">
            <v>14856540.01</v>
          </cell>
          <cell r="D26">
            <v>14699025.97</v>
          </cell>
        </row>
        <row r="27">
          <cell r="A27" t="str">
            <v>Choumohoni</v>
          </cell>
          <cell r="B27">
            <v>9516615.01</v>
          </cell>
          <cell r="C27">
            <v>8761254.51</v>
          </cell>
          <cell r="D27">
            <v>8371917.07</v>
          </cell>
        </row>
        <row r="28">
          <cell r="A28" t="str">
            <v>Chuadanga</v>
          </cell>
          <cell r="B28">
            <v>12075158.61</v>
          </cell>
          <cell r="C28">
            <v>10739868.56</v>
          </cell>
          <cell r="D28">
            <v>10652971.64</v>
          </cell>
        </row>
        <row r="29">
          <cell r="A29" t="str">
            <v>Comilla East</v>
          </cell>
          <cell r="B29">
            <v>10299570.49</v>
          </cell>
          <cell r="C29">
            <v>10059591.56</v>
          </cell>
          <cell r="D29">
            <v>10050946.89</v>
          </cell>
        </row>
        <row r="30">
          <cell r="A30" t="str">
            <v>Comilla West</v>
          </cell>
          <cell r="B30">
            <v>4976359.97</v>
          </cell>
          <cell r="C30">
            <v>4557708.57</v>
          </cell>
          <cell r="D30">
            <v>4552538.2</v>
          </cell>
        </row>
        <row r="31">
          <cell r="A31" t="str">
            <v>Companygonj</v>
          </cell>
          <cell r="B31">
            <v>11290545.05</v>
          </cell>
          <cell r="C31">
            <v>11248890.24</v>
          </cell>
          <cell r="D31">
            <v>11092244.2</v>
          </cell>
        </row>
        <row r="32">
          <cell r="A32" t="str">
            <v>Cox's Bazar</v>
          </cell>
          <cell r="B32">
            <v>4029100.14</v>
          </cell>
          <cell r="C32">
            <v>3402456.25</v>
          </cell>
          <cell r="D32">
            <v>3399008.65</v>
          </cell>
        </row>
        <row r="33">
          <cell r="A33" t="str">
            <v>Daulatpur</v>
          </cell>
          <cell r="B33">
            <v>9404331.58</v>
          </cell>
          <cell r="C33">
            <v>7950342.08</v>
          </cell>
          <cell r="D33">
            <v>7844592.61</v>
          </cell>
        </row>
        <row r="34">
          <cell r="A34" t="str">
            <v>DEPZ</v>
          </cell>
          <cell r="B34">
            <v>3616050.14</v>
          </cell>
          <cell r="C34">
            <v>3097910.21</v>
          </cell>
          <cell r="D34">
            <v>3081705.58</v>
          </cell>
        </row>
        <row r="35">
          <cell r="A35" t="str">
            <v>Dhamrai</v>
          </cell>
          <cell r="B35">
            <v>3408336.27</v>
          </cell>
          <cell r="C35">
            <v>2991311.9</v>
          </cell>
          <cell r="D35">
            <v>2882358.81</v>
          </cell>
        </row>
        <row r="36">
          <cell r="A36" t="str">
            <v>Dinajpur</v>
          </cell>
          <cell r="B36">
            <v>7000345.2</v>
          </cell>
          <cell r="C36">
            <v>6944800.72</v>
          </cell>
          <cell r="D36">
            <v>6836127.81</v>
          </cell>
        </row>
        <row r="37">
          <cell r="A37" t="str">
            <v>Elephant Road</v>
          </cell>
          <cell r="B37">
            <v>18554968.26</v>
          </cell>
          <cell r="C37">
            <v>10124187.95</v>
          </cell>
          <cell r="D37">
            <v>10003180.86</v>
          </cell>
        </row>
        <row r="38">
          <cell r="A38" t="str">
            <v>Faridpur</v>
          </cell>
          <cell r="B38">
            <v>9477289.56</v>
          </cell>
          <cell r="C38">
            <v>8762651.44</v>
          </cell>
          <cell r="D38">
            <v>8752405.86</v>
          </cell>
        </row>
        <row r="39">
          <cell r="A39" t="str">
            <v>Fatullah</v>
          </cell>
          <cell r="B39">
            <v>6593385.47</v>
          </cell>
          <cell r="C39">
            <v>4837610.24</v>
          </cell>
          <cell r="D39">
            <v>4761570.27</v>
          </cell>
        </row>
        <row r="40">
          <cell r="A40" t="str">
            <v>Feni</v>
          </cell>
          <cell r="B40">
            <v>12517070.51</v>
          </cell>
          <cell r="C40">
            <v>11759295.68</v>
          </cell>
          <cell r="D40">
            <v>11599150.88</v>
          </cell>
        </row>
        <row r="41">
          <cell r="A41" t="str">
            <v>Fulbari</v>
          </cell>
          <cell r="B41">
            <v>3716501.27</v>
          </cell>
          <cell r="C41">
            <v>3703673.76</v>
          </cell>
          <cell r="D41">
            <v>3699303.45</v>
          </cell>
        </row>
        <row r="42">
          <cell r="A42" t="str">
            <v>Gaibandha</v>
          </cell>
          <cell r="B42">
            <v>7162419.9</v>
          </cell>
          <cell r="C42">
            <v>7172699.81</v>
          </cell>
          <cell r="D42">
            <v>7162419.9</v>
          </cell>
        </row>
        <row r="43">
          <cell r="A43" t="str">
            <v>Gazipur</v>
          </cell>
          <cell r="B43">
            <v>9261710.05</v>
          </cell>
          <cell r="C43">
            <v>7442058.11</v>
          </cell>
          <cell r="D43">
            <v>7212263.6</v>
          </cell>
        </row>
        <row r="44">
          <cell r="A44" t="str">
            <v>Ghatail</v>
          </cell>
          <cell r="B44">
            <v>8399126.38</v>
          </cell>
          <cell r="C44">
            <v>9027533.66</v>
          </cell>
          <cell r="D44">
            <v>7981410.11</v>
          </cell>
        </row>
        <row r="45">
          <cell r="A45" t="str">
            <v>Gopalgonj</v>
          </cell>
          <cell r="B45">
            <v>8642789.78</v>
          </cell>
          <cell r="C45">
            <v>8533524.45</v>
          </cell>
          <cell r="D45">
            <v>8525561.18</v>
          </cell>
        </row>
        <row r="46">
          <cell r="A46" t="str">
            <v>Gulistan</v>
          </cell>
          <cell r="B46">
            <v>23462904.95</v>
          </cell>
          <cell r="C46">
            <v>14822786.7</v>
          </cell>
          <cell r="D46">
            <v>14698075.5</v>
          </cell>
        </row>
        <row r="47">
          <cell r="A47" t="str">
            <v>Halishahar</v>
          </cell>
          <cell r="B47">
            <v>6904139.16</v>
          </cell>
          <cell r="C47">
            <v>6600619.08</v>
          </cell>
          <cell r="D47">
            <v>6588262.04</v>
          </cell>
        </row>
        <row r="48">
          <cell r="A48" t="str">
            <v>Hasnabad</v>
          </cell>
          <cell r="B48">
            <v>5640782.82</v>
          </cell>
          <cell r="C48">
            <v>5903182.47</v>
          </cell>
          <cell r="D48">
            <v>5442809.08</v>
          </cell>
        </row>
        <row r="49">
          <cell r="A49" t="str">
            <v>Hathazari</v>
          </cell>
          <cell r="B49">
            <v>10219279.72</v>
          </cell>
          <cell r="C49">
            <v>9302930.47</v>
          </cell>
          <cell r="D49">
            <v>9289969.53</v>
          </cell>
        </row>
        <row r="50">
          <cell r="A50" t="str">
            <v>Hazigonj</v>
          </cell>
          <cell r="B50">
            <v>9766122.60000001</v>
          </cell>
          <cell r="C50">
            <v>9230923.66</v>
          </cell>
          <cell r="D50">
            <v>9124498.23</v>
          </cell>
        </row>
        <row r="51">
          <cell r="A51" t="str">
            <v>Hobigonj</v>
          </cell>
          <cell r="B51">
            <v>9407248.54</v>
          </cell>
          <cell r="C51">
            <v>8974986.62</v>
          </cell>
          <cell r="D51">
            <v>8866265.82</v>
          </cell>
        </row>
        <row r="52">
          <cell r="A52" t="str">
            <v>Imamgonj</v>
          </cell>
          <cell r="B52">
            <v>14997076.27</v>
          </cell>
          <cell r="C52">
            <v>14981308.51</v>
          </cell>
          <cell r="D52">
            <v>14814362.52</v>
          </cell>
        </row>
        <row r="53">
          <cell r="A53" t="str">
            <v>Ishwardi</v>
          </cell>
          <cell r="B53">
            <v>14800069.67</v>
          </cell>
          <cell r="C53">
            <v>12586231.17</v>
          </cell>
          <cell r="D53">
            <v>11966620.99</v>
          </cell>
        </row>
        <row r="54">
          <cell r="A54" t="str">
            <v>Islambagh</v>
          </cell>
          <cell r="B54">
            <v>8520939.37</v>
          </cell>
          <cell r="C54">
            <v>8526111.9</v>
          </cell>
          <cell r="D54">
            <v>8520939.37</v>
          </cell>
        </row>
        <row r="55">
          <cell r="A55" t="str">
            <v>Islampur Road</v>
          </cell>
          <cell r="B55">
            <v>39647415.4</v>
          </cell>
          <cell r="C55">
            <v>27760178.91</v>
          </cell>
          <cell r="D55">
            <v>27700488.02</v>
          </cell>
        </row>
        <row r="56">
          <cell r="A56" t="str">
            <v>Jamalpur</v>
          </cell>
          <cell r="B56">
            <v>1433122.81</v>
          </cell>
          <cell r="C56">
            <v>1435101.42</v>
          </cell>
          <cell r="D56">
            <v>1433122.81</v>
          </cell>
        </row>
        <row r="57">
          <cell r="A57" t="str">
            <v>Jatrabari</v>
          </cell>
          <cell r="B57">
            <v>13612680.32</v>
          </cell>
          <cell r="C57">
            <v>11764222.11</v>
          </cell>
          <cell r="D57">
            <v>11748981.84</v>
          </cell>
        </row>
        <row r="58">
          <cell r="A58" t="str">
            <v>Jessore</v>
          </cell>
          <cell r="B58">
            <v>15158893</v>
          </cell>
          <cell r="C58">
            <v>14213793.16</v>
          </cell>
          <cell r="D58">
            <v>14203383.26</v>
          </cell>
        </row>
        <row r="59">
          <cell r="A59" t="str">
            <v>Jhenaidah</v>
          </cell>
          <cell r="B59">
            <v>9837487.38</v>
          </cell>
          <cell r="C59">
            <v>9881894.9</v>
          </cell>
          <cell r="D59">
            <v>9837487.38</v>
          </cell>
        </row>
        <row r="60">
          <cell r="A60" t="str">
            <v>Jikorgacha</v>
          </cell>
          <cell r="B60">
            <v>9490990.12</v>
          </cell>
          <cell r="C60">
            <v>9199436.56</v>
          </cell>
          <cell r="D60">
            <v>9161504.78</v>
          </cell>
        </row>
        <row r="61">
          <cell r="A61" t="str">
            <v>Joydebpur</v>
          </cell>
          <cell r="B61">
            <v>8711275.45</v>
          </cell>
          <cell r="C61">
            <v>8197988.33</v>
          </cell>
          <cell r="D61">
            <v>8080969.07</v>
          </cell>
        </row>
        <row r="62">
          <cell r="A62" t="str">
            <v>Joypurhat</v>
          </cell>
          <cell r="B62">
            <v>5445396.81</v>
          </cell>
          <cell r="C62">
            <v>5446921.24</v>
          </cell>
          <cell r="D62">
            <v>5443344.71</v>
          </cell>
        </row>
        <row r="63">
          <cell r="A63" t="str">
            <v>Kadamtali</v>
          </cell>
          <cell r="B63">
            <v>7150445.51</v>
          </cell>
          <cell r="C63">
            <v>6285083</v>
          </cell>
          <cell r="D63">
            <v>6188591.92</v>
          </cell>
        </row>
        <row r="64">
          <cell r="A64" t="str">
            <v>Kalurghat</v>
          </cell>
          <cell r="B64">
            <v>7296856.11</v>
          </cell>
          <cell r="C64">
            <v>7308220.6</v>
          </cell>
          <cell r="D64">
            <v>7296856.11</v>
          </cell>
        </row>
        <row r="65">
          <cell r="A65" t="str">
            <v>Kamrangirchar</v>
          </cell>
          <cell r="B65">
            <v>12797645.97</v>
          </cell>
          <cell r="C65">
            <v>10380049.09</v>
          </cell>
          <cell r="D65">
            <v>10370874.03</v>
          </cell>
        </row>
        <row r="66">
          <cell r="A66" t="str">
            <v>Kazipara</v>
          </cell>
          <cell r="B66">
            <v>7552658.77</v>
          </cell>
          <cell r="C66">
            <v>7024015.75</v>
          </cell>
          <cell r="D66">
            <v>6982924.58</v>
          </cell>
        </row>
        <row r="67">
          <cell r="A67" t="str">
            <v>Keranigonj</v>
          </cell>
          <cell r="B67">
            <v>25224951.44</v>
          </cell>
          <cell r="C67">
            <v>13806909.64</v>
          </cell>
          <cell r="D67">
            <v>13655770.66</v>
          </cell>
        </row>
        <row r="68">
          <cell r="A68" t="str">
            <v>Keshobpur</v>
          </cell>
          <cell r="B68">
            <v>19663739.29</v>
          </cell>
          <cell r="C68">
            <v>18265496.1</v>
          </cell>
          <cell r="D68">
            <v>18215547.14</v>
          </cell>
        </row>
        <row r="69">
          <cell r="A69" t="str">
            <v>Khatungonj</v>
          </cell>
          <cell r="B69">
            <v>11343313.35</v>
          </cell>
          <cell r="C69">
            <v>10293327.57</v>
          </cell>
          <cell r="D69">
            <v>10157367.53</v>
          </cell>
        </row>
        <row r="70">
          <cell r="A70" t="str">
            <v>Khulna</v>
          </cell>
          <cell r="B70">
            <v>18517238.88</v>
          </cell>
          <cell r="C70">
            <v>14433297.68</v>
          </cell>
          <cell r="D70">
            <v>14422322.47</v>
          </cell>
        </row>
        <row r="71">
          <cell r="A71" t="str">
            <v>Konabari</v>
          </cell>
          <cell r="B71">
            <v>8433080.01</v>
          </cell>
          <cell r="C71">
            <v>7481231.42</v>
          </cell>
          <cell r="D71">
            <v>7471954.63</v>
          </cell>
        </row>
        <row r="72">
          <cell r="A72" t="str">
            <v>Kosba</v>
          </cell>
          <cell r="B72">
            <v>12360344.1</v>
          </cell>
          <cell r="C72">
            <v>11705255.03</v>
          </cell>
          <cell r="D72">
            <v>11559685.39</v>
          </cell>
        </row>
        <row r="73">
          <cell r="A73" t="str">
            <v>Kotiadi</v>
          </cell>
          <cell r="B73">
            <v>9931079.89</v>
          </cell>
          <cell r="C73">
            <v>9445165.04</v>
          </cell>
          <cell r="D73">
            <v>9432635.96</v>
          </cell>
        </row>
        <row r="74">
          <cell r="A74" t="str">
            <v>Kulaura </v>
          </cell>
          <cell r="B74">
            <v>6903213.65</v>
          </cell>
          <cell r="C74">
            <v>6769771.27999999</v>
          </cell>
          <cell r="D74">
            <v>6764505.33</v>
          </cell>
        </row>
        <row r="75">
          <cell r="A75" t="str">
            <v>Kurigram</v>
          </cell>
          <cell r="B75">
            <v>9377233.99</v>
          </cell>
          <cell r="C75">
            <v>9603079.88</v>
          </cell>
          <cell r="D75">
            <v>9333107.64</v>
          </cell>
        </row>
        <row r="76">
          <cell r="A76" t="str">
            <v>Kushtia</v>
          </cell>
          <cell r="B76">
            <v>6973090.21</v>
          </cell>
          <cell r="C76">
            <v>6741795.56</v>
          </cell>
          <cell r="D76">
            <v>6733222.29</v>
          </cell>
        </row>
        <row r="77">
          <cell r="A77" t="str">
            <v>Laksham</v>
          </cell>
          <cell r="B77">
            <v>6764340.88</v>
          </cell>
          <cell r="C77">
            <v>6286688.66</v>
          </cell>
          <cell r="D77">
            <v>6214636.02</v>
          </cell>
        </row>
        <row r="78">
          <cell r="A78" t="str">
            <v>Laxmipur</v>
          </cell>
          <cell r="B78">
            <v>6321743.51</v>
          </cell>
          <cell r="C78">
            <v>5795695.33</v>
          </cell>
          <cell r="D78">
            <v>5768137.04</v>
          </cell>
        </row>
        <row r="79">
          <cell r="A79" t="str">
            <v>Lohagora, CTG</v>
          </cell>
          <cell r="B79">
            <v>7785106.56</v>
          </cell>
          <cell r="C79">
            <v>7346624.76</v>
          </cell>
          <cell r="D79">
            <v>7313718.87</v>
          </cell>
        </row>
        <row r="80">
          <cell r="A80" t="str">
            <v>Madhabpur</v>
          </cell>
          <cell r="B80">
            <v>14031401.09</v>
          </cell>
          <cell r="C80">
            <v>13489571.9</v>
          </cell>
          <cell r="D80">
            <v>13296662.89</v>
          </cell>
        </row>
        <row r="81">
          <cell r="A81" t="str">
            <v>Magura</v>
          </cell>
          <cell r="B81">
            <v>5765055.12</v>
          </cell>
          <cell r="C81">
            <v>7314246.1</v>
          </cell>
          <cell r="D81">
            <v>5759175.62</v>
          </cell>
        </row>
        <row r="82">
          <cell r="A82" t="str">
            <v>Maijdee</v>
          </cell>
          <cell r="B82">
            <v>9175276.59</v>
          </cell>
          <cell r="C82">
            <v>10754111.7</v>
          </cell>
          <cell r="D82">
            <v>8376677.15</v>
          </cell>
        </row>
        <row r="83">
          <cell r="A83" t="str">
            <v>Manikgonj</v>
          </cell>
          <cell r="B83">
            <v>3204197.45</v>
          </cell>
          <cell r="C83">
            <v>3243793.21</v>
          </cell>
          <cell r="D83">
            <v>3070081.24</v>
          </cell>
        </row>
        <row r="84">
          <cell r="A84" t="str">
            <v>Mirpur</v>
          </cell>
          <cell r="B84">
            <v>17178613.75</v>
          </cell>
          <cell r="C84">
            <v>15406048.57</v>
          </cell>
          <cell r="D84">
            <v>15331026.13</v>
          </cell>
        </row>
        <row r="85">
          <cell r="A85" t="str">
            <v>Moghbazar</v>
          </cell>
          <cell r="B85">
            <v>9783047.67</v>
          </cell>
          <cell r="C85">
            <v>6113427.73</v>
          </cell>
          <cell r="D85">
            <v>6017423.43</v>
          </cell>
        </row>
        <row r="86">
          <cell r="A86" t="str">
            <v>Mohammadpur</v>
          </cell>
          <cell r="B86">
            <v>8792359.42</v>
          </cell>
          <cell r="C86">
            <v>7926715.33</v>
          </cell>
          <cell r="D86">
            <v>7920275.4</v>
          </cell>
        </row>
        <row r="87">
          <cell r="A87" t="str">
            <v>Mymensingh</v>
          </cell>
          <cell r="B87">
            <v>16216590.32</v>
          </cell>
          <cell r="C87">
            <v>15546262.7</v>
          </cell>
          <cell r="D87">
            <v>14887001.69</v>
          </cell>
        </row>
        <row r="88">
          <cell r="A88" t="str">
            <v>Nangolkot</v>
          </cell>
          <cell r="B88">
            <v>11921261.07</v>
          </cell>
          <cell r="C88">
            <v>11641972.3</v>
          </cell>
          <cell r="D88">
            <v>11572316.8</v>
          </cell>
        </row>
        <row r="89">
          <cell r="A89" t="str">
            <v>Naogaon</v>
          </cell>
          <cell r="B89">
            <v>9335334.31</v>
          </cell>
          <cell r="C89">
            <v>8846181.85</v>
          </cell>
          <cell r="D89">
            <v>8838621.39</v>
          </cell>
        </row>
        <row r="90">
          <cell r="A90" t="str">
            <v>Narail</v>
          </cell>
          <cell r="B90">
            <v>7573943.55</v>
          </cell>
          <cell r="C90">
            <v>7303163.14</v>
          </cell>
          <cell r="D90">
            <v>7293464.51</v>
          </cell>
        </row>
        <row r="91">
          <cell r="A91" t="str">
            <v>Narayangonj</v>
          </cell>
          <cell r="B91">
            <v>19464762.37</v>
          </cell>
          <cell r="C91">
            <v>11558700.58</v>
          </cell>
          <cell r="D91">
            <v>11474189.93</v>
          </cell>
        </row>
        <row r="92">
          <cell r="A92" t="str">
            <v>Narsingdi</v>
          </cell>
          <cell r="B92">
            <v>16864351.52</v>
          </cell>
          <cell r="C92">
            <v>16589467.4</v>
          </cell>
          <cell r="D92">
            <v>16434976.66</v>
          </cell>
        </row>
        <row r="93">
          <cell r="A93" t="str">
            <v>Nawabgonj</v>
          </cell>
          <cell r="B93">
            <v>9916197.13</v>
          </cell>
          <cell r="C93">
            <v>9576352.81</v>
          </cell>
          <cell r="D93">
            <v>9543675.21</v>
          </cell>
        </row>
        <row r="94">
          <cell r="A94" t="str">
            <v>Nawabpur</v>
          </cell>
          <cell r="B94">
            <v>12082543.96</v>
          </cell>
          <cell r="C94">
            <v>10280113.47</v>
          </cell>
          <cell r="D94">
            <v>10270351.08</v>
          </cell>
        </row>
        <row r="95">
          <cell r="A95" t="str">
            <v>Nondon Kanon</v>
          </cell>
          <cell r="B95">
            <v>9109083.11</v>
          </cell>
          <cell r="C95">
            <v>8705123.96</v>
          </cell>
          <cell r="D95">
            <v>8566503.24</v>
          </cell>
        </row>
        <row r="96">
          <cell r="A96" t="str">
            <v>Pabna</v>
          </cell>
          <cell r="B96">
            <v>17282532.29</v>
          </cell>
          <cell r="C96">
            <v>16894326.79</v>
          </cell>
          <cell r="D96">
            <v>16363533.71</v>
          </cell>
        </row>
        <row r="97">
          <cell r="A97" t="str">
            <v>Pahartali</v>
          </cell>
          <cell r="B97">
            <v>10740988.54</v>
          </cell>
          <cell r="C97">
            <v>9997755.61</v>
          </cell>
          <cell r="D97">
            <v>9919827.23</v>
          </cell>
        </row>
        <row r="98">
          <cell r="A98" t="str">
            <v>Panchaghar</v>
          </cell>
          <cell r="B98">
            <v>5969231.45</v>
          </cell>
          <cell r="C98">
            <v>5858945.21</v>
          </cell>
          <cell r="D98">
            <v>5838480.71</v>
          </cell>
        </row>
        <row r="99">
          <cell r="A99" t="str">
            <v>Patuakhali</v>
          </cell>
          <cell r="B99">
            <v>12544355.8</v>
          </cell>
          <cell r="C99">
            <v>9901771.39</v>
          </cell>
          <cell r="D99">
            <v>9812855.86</v>
          </cell>
        </row>
        <row r="100">
          <cell r="A100" t="str">
            <v>Potiya</v>
          </cell>
          <cell r="B100">
            <v>5829358.03</v>
          </cell>
          <cell r="C100">
            <v>5375278.76</v>
          </cell>
          <cell r="D100">
            <v>5320760.72</v>
          </cell>
        </row>
        <row r="101">
          <cell r="A101" t="str">
            <v>Rajbari</v>
          </cell>
          <cell r="B101">
            <v>6027729.24</v>
          </cell>
          <cell r="C101">
            <v>5956675.87</v>
          </cell>
          <cell r="D101">
            <v>5948935.89</v>
          </cell>
        </row>
        <row r="102">
          <cell r="A102" t="str">
            <v>Rajshahi</v>
          </cell>
          <cell r="B102">
            <v>17142854.27</v>
          </cell>
          <cell r="C102">
            <v>16528715.76</v>
          </cell>
          <cell r="D102">
            <v>16447614.04</v>
          </cell>
        </row>
        <row r="103">
          <cell r="A103" t="str">
            <v>Rangpur</v>
          </cell>
          <cell r="B103">
            <v>11995969.17</v>
          </cell>
          <cell r="C103">
            <v>11546109.64</v>
          </cell>
          <cell r="D103">
            <v>11465087.33</v>
          </cell>
        </row>
        <row r="104">
          <cell r="A104" t="str">
            <v>Sathkhira</v>
          </cell>
          <cell r="B104">
            <v>3623946.28</v>
          </cell>
          <cell r="C104">
            <v>3627751.74</v>
          </cell>
          <cell r="D104">
            <v>3623946.28</v>
          </cell>
        </row>
        <row r="105">
          <cell r="A105" t="str">
            <v>Savar</v>
          </cell>
          <cell r="B105">
            <v>5469028.62</v>
          </cell>
          <cell r="C105">
            <v>4369793.33</v>
          </cell>
          <cell r="D105">
            <v>4307015.8</v>
          </cell>
        </row>
        <row r="106">
          <cell r="A106" t="str">
            <v>Savar-2</v>
          </cell>
          <cell r="B106">
            <v>5732981.61</v>
          </cell>
          <cell r="C106">
            <v>5282280.71</v>
          </cell>
          <cell r="D106">
            <v>5260491.73</v>
          </cell>
        </row>
        <row r="107">
          <cell r="A107" t="str">
            <v>Shaheshtagonj</v>
          </cell>
          <cell r="B107">
            <v>13148521.91</v>
          </cell>
          <cell r="C107">
            <v>11865166.54</v>
          </cell>
          <cell r="D107">
            <v>11800439.46</v>
          </cell>
        </row>
        <row r="108">
          <cell r="A108" t="str">
            <v>Shambazar</v>
          </cell>
          <cell r="B108">
            <v>38642633.14</v>
          </cell>
          <cell r="C108">
            <v>21336815.57</v>
          </cell>
          <cell r="D108">
            <v>21313868.48</v>
          </cell>
        </row>
        <row r="109">
          <cell r="A109" t="str">
            <v>Shariatpur</v>
          </cell>
          <cell r="B109">
            <v>10790109.77</v>
          </cell>
          <cell r="C109">
            <v>10806540.45</v>
          </cell>
          <cell r="D109">
            <v>10789363.09</v>
          </cell>
        </row>
        <row r="110">
          <cell r="A110" t="str">
            <v>Sherpur</v>
          </cell>
          <cell r="B110">
            <v>4891133.34</v>
          </cell>
          <cell r="C110">
            <v>4719340.55</v>
          </cell>
          <cell r="D110">
            <v>4711771.66</v>
          </cell>
        </row>
        <row r="111">
          <cell r="A111" t="str">
            <v>Shiddirgonj</v>
          </cell>
          <cell r="B111">
            <v>9414048.63</v>
          </cell>
          <cell r="C111">
            <v>9429382.41</v>
          </cell>
          <cell r="D111">
            <v>9414048.63</v>
          </cell>
        </row>
        <row r="112">
          <cell r="A112" t="str">
            <v>Sirajgonj</v>
          </cell>
          <cell r="B112">
            <v>10076864.28</v>
          </cell>
          <cell r="C112">
            <v>10143794.43</v>
          </cell>
          <cell r="D112">
            <v>10054332.94</v>
          </cell>
        </row>
        <row r="113">
          <cell r="A113" t="str">
            <v>Sonir Akhra</v>
          </cell>
          <cell r="B113">
            <v>6221769.09</v>
          </cell>
          <cell r="C113">
            <v>5975413.22</v>
          </cell>
          <cell r="D113">
            <v>5969090.73</v>
          </cell>
        </row>
        <row r="114">
          <cell r="A114" t="str">
            <v>South Surma</v>
          </cell>
          <cell r="B114">
            <v>4566046.43</v>
          </cell>
          <cell r="C114">
            <v>3586469.67</v>
          </cell>
          <cell r="D114">
            <v>3495458.72</v>
          </cell>
        </row>
        <row r="115">
          <cell r="A115" t="str">
            <v>Sreenagar</v>
          </cell>
          <cell r="B115">
            <v>6401684.34</v>
          </cell>
          <cell r="C115">
            <v>6288205.81</v>
          </cell>
          <cell r="D115">
            <v>6256898.12</v>
          </cell>
        </row>
        <row r="116">
          <cell r="A116" t="str">
            <v>Sreepur</v>
          </cell>
          <cell r="B116">
            <v>8503536.36</v>
          </cell>
          <cell r="C116">
            <v>8480755.77</v>
          </cell>
          <cell r="D116">
            <v>8463571.88</v>
          </cell>
        </row>
        <row r="117">
          <cell r="A117" t="str">
            <v>Swarupkathi</v>
          </cell>
          <cell r="B117">
            <v>5747868.53</v>
          </cell>
          <cell r="C117">
            <v>4769688.34</v>
          </cell>
          <cell r="D117">
            <v>4551741.48</v>
          </cell>
        </row>
        <row r="118">
          <cell r="A118" t="str">
            <v>Syedpur</v>
          </cell>
          <cell r="B118">
            <v>7761886.86</v>
          </cell>
          <cell r="C118">
            <v>7695017.76</v>
          </cell>
          <cell r="D118">
            <v>7687465.09</v>
          </cell>
        </row>
        <row r="119">
          <cell r="A119" t="str">
            <v>Tangail</v>
          </cell>
          <cell r="B119">
            <v>7620853.59</v>
          </cell>
          <cell r="C119">
            <v>7826171.81</v>
          </cell>
          <cell r="D119">
            <v>7250523.86</v>
          </cell>
        </row>
        <row r="120">
          <cell r="A120" t="str">
            <v>Thakurgaon</v>
          </cell>
          <cell r="B120">
            <v>7811575.16</v>
          </cell>
          <cell r="C120">
            <v>7187264.33</v>
          </cell>
          <cell r="D120">
            <v>7156068.74</v>
          </cell>
        </row>
        <row r="121">
          <cell r="A121" t="str">
            <v>Tongi</v>
          </cell>
          <cell r="B121">
            <v>8073871.34</v>
          </cell>
          <cell r="C121">
            <v>8088568.36</v>
          </cell>
          <cell r="D121">
            <v>7374439.69</v>
          </cell>
        </row>
        <row r="122">
          <cell r="A122" t="str">
            <v>Zinzira</v>
          </cell>
          <cell r="B122">
            <v>20683377.61</v>
          </cell>
          <cell r="C122">
            <v>11103354.88</v>
          </cell>
          <cell r="D122">
            <v>11097658.01</v>
          </cell>
        </row>
        <row r="123">
          <cell r="A123" t="str">
            <v>Grand Total</v>
          </cell>
          <cell r="B123">
            <v>1209548469.96</v>
          </cell>
          <cell r="C123">
            <v>1071852695.73</v>
          </cell>
          <cell r="D123">
            <v>1054327285.72</v>
          </cell>
        </row>
      </sheetData>
      <sheetData sheetId="15" refreshError="1"/>
      <sheetData sheetId="16" refreshError="1"/>
      <sheetData sheetId="17" refreshError="1">
        <row r="4">
          <cell r="A4" t="str">
            <v>Row Labels</v>
          </cell>
          <cell r="B4" t="str">
            <v>Sum of Balance (Cal)</v>
          </cell>
          <cell r="C4" t="str">
            <v>Count of PAR/NPL</v>
          </cell>
        </row>
        <row r="5">
          <cell r="A5" t="str">
            <v>Agailjhara</v>
          </cell>
          <cell r="B5">
            <v>1821800.82</v>
          </cell>
          <cell r="C5">
            <v>2</v>
          </cell>
        </row>
        <row r="6">
          <cell r="A6" t="str">
            <v>Bogura</v>
          </cell>
          <cell r="B6">
            <v>1282294.74</v>
          </cell>
          <cell r="C6">
            <v>1</v>
          </cell>
        </row>
        <row r="7">
          <cell r="A7" t="str">
            <v>Chawk Bazar</v>
          </cell>
          <cell r="B7">
            <v>2356767.96</v>
          </cell>
          <cell r="C7">
            <v>1</v>
          </cell>
        </row>
        <row r="8">
          <cell r="A8" t="str">
            <v>Chuadanga</v>
          </cell>
          <cell r="B8">
            <v>635150.73</v>
          </cell>
          <cell r="C8">
            <v>1</v>
          </cell>
        </row>
        <row r="9">
          <cell r="A9" t="str">
            <v>Daulatpur</v>
          </cell>
          <cell r="B9">
            <v>1585889.27</v>
          </cell>
          <cell r="C9">
            <v>1</v>
          </cell>
        </row>
        <row r="10">
          <cell r="A10" t="str">
            <v>Hazigonj</v>
          </cell>
          <cell r="B10">
            <v>1264623.61</v>
          </cell>
          <cell r="C10">
            <v>1</v>
          </cell>
        </row>
        <row r="11">
          <cell r="A11" t="str">
            <v>Hobigonj</v>
          </cell>
          <cell r="B11">
            <v>521856.35</v>
          </cell>
          <cell r="C11">
            <v>1</v>
          </cell>
        </row>
        <row r="12">
          <cell r="A12" t="str">
            <v>Ishwardi</v>
          </cell>
          <cell r="B12">
            <v>12789704.92</v>
          </cell>
          <cell r="C12">
            <v>1</v>
          </cell>
        </row>
        <row r="13">
          <cell r="A13" t="str">
            <v>Islampur Road</v>
          </cell>
          <cell r="B13">
            <v>3992796.94</v>
          </cell>
          <cell r="C13">
            <v>1</v>
          </cell>
        </row>
        <row r="14">
          <cell r="A14" t="str">
            <v>Kadamtali</v>
          </cell>
          <cell r="B14">
            <v>1277234.15</v>
          </cell>
          <cell r="C14">
            <v>1</v>
          </cell>
        </row>
        <row r="15">
          <cell r="A15" t="str">
            <v>Kotiadi</v>
          </cell>
          <cell r="B15">
            <v>363532.41</v>
          </cell>
          <cell r="C15">
            <v>1</v>
          </cell>
        </row>
        <row r="16">
          <cell r="A16" t="str">
            <v>Maijdee</v>
          </cell>
          <cell r="B16">
            <v>720916.59</v>
          </cell>
          <cell r="C16">
            <v>1</v>
          </cell>
        </row>
        <row r="17">
          <cell r="A17" t="str">
            <v>Narail</v>
          </cell>
          <cell r="B17">
            <v>205504.01</v>
          </cell>
          <cell r="C17">
            <v>1</v>
          </cell>
        </row>
        <row r="18">
          <cell r="A18" t="str">
            <v>Patuakhali</v>
          </cell>
          <cell r="B18">
            <v>608455.53</v>
          </cell>
          <cell r="C18">
            <v>1</v>
          </cell>
        </row>
        <row r="19">
          <cell r="A19" t="str">
            <v>Savar</v>
          </cell>
          <cell r="B19">
            <v>1385551.84</v>
          </cell>
          <cell r="C19">
            <v>1</v>
          </cell>
        </row>
        <row r="20">
          <cell r="A20" t="str">
            <v>Shaheshtagonj</v>
          </cell>
          <cell r="B20">
            <v>2386120.18</v>
          </cell>
          <cell r="C20">
            <v>1</v>
          </cell>
        </row>
        <row r="21">
          <cell r="A21" t="str">
            <v>South Surma</v>
          </cell>
          <cell r="B21">
            <v>1473758.34</v>
          </cell>
          <cell r="C21">
            <v>1</v>
          </cell>
        </row>
        <row r="22">
          <cell r="A22" t="str">
            <v>Grand Total</v>
          </cell>
          <cell r="B22">
            <v>34671958.39</v>
          </cell>
          <cell r="C22">
            <v>18</v>
          </cell>
        </row>
      </sheetData>
      <sheetData sheetId="18" refreshError="1">
        <row r="4">
          <cell r="A4" t="str">
            <v>Row Labels</v>
          </cell>
          <cell r="B4" t="str">
            <v>Sum of Balance (Cal)</v>
          </cell>
          <cell r="C4" t="str">
            <v>Count of PAR/NPL</v>
          </cell>
        </row>
        <row r="5">
          <cell r="A5" t="str">
            <v>Agailjhara</v>
          </cell>
          <cell r="B5">
            <v>1821800.82</v>
          </cell>
          <cell r="C5">
            <v>2</v>
          </cell>
        </row>
        <row r="6">
          <cell r="A6" t="str">
            <v>Ambarkhana</v>
          </cell>
          <cell r="B6">
            <v>779349.74</v>
          </cell>
          <cell r="C6">
            <v>1</v>
          </cell>
        </row>
        <row r="7">
          <cell r="A7" t="str">
            <v>Anderkilla</v>
          </cell>
          <cell r="B7">
            <v>1723075.75</v>
          </cell>
          <cell r="C7">
            <v>1</v>
          </cell>
        </row>
        <row r="8">
          <cell r="A8" t="str">
            <v>Badda</v>
          </cell>
          <cell r="B8">
            <v>847652</v>
          </cell>
          <cell r="C8">
            <v>1</v>
          </cell>
        </row>
        <row r="9">
          <cell r="A9" t="str">
            <v>Bagerhat</v>
          </cell>
          <cell r="B9">
            <v>607392.84</v>
          </cell>
          <cell r="C9">
            <v>1</v>
          </cell>
        </row>
        <row r="10">
          <cell r="A10" t="str">
            <v>Banasree</v>
          </cell>
          <cell r="B10">
            <v>909654.32</v>
          </cell>
          <cell r="C10">
            <v>1</v>
          </cell>
        </row>
        <row r="11">
          <cell r="A11" t="str">
            <v>Bancharampur</v>
          </cell>
          <cell r="B11">
            <v>1205946.76</v>
          </cell>
          <cell r="C11">
            <v>2</v>
          </cell>
        </row>
        <row r="12">
          <cell r="A12" t="str">
            <v>Barishal</v>
          </cell>
          <cell r="B12">
            <v>905925.4</v>
          </cell>
          <cell r="C12">
            <v>1</v>
          </cell>
        </row>
        <row r="13">
          <cell r="A13" t="str">
            <v>Bhanga</v>
          </cell>
          <cell r="B13">
            <v>644738</v>
          </cell>
          <cell r="C13">
            <v>1</v>
          </cell>
        </row>
        <row r="14">
          <cell r="A14" t="str">
            <v>Bheramara</v>
          </cell>
          <cell r="B14">
            <v>423272.47</v>
          </cell>
          <cell r="C14">
            <v>1</v>
          </cell>
        </row>
        <row r="15">
          <cell r="A15" t="str">
            <v>Bhola</v>
          </cell>
          <cell r="B15">
            <v>437405.22</v>
          </cell>
          <cell r="C15">
            <v>1</v>
          </cell>
        </row>
        <row r="16">
          <cell r="A16" t="str">
            <v>Bogura</v>
          </cell>
          <cell r="B16">
            <v>2411220.88</v>
          </cell>
          <cell r="C16">
            <v>2</v>
          </cell>
        </row>
        <row r="17">
          <cell r="A17" t="str">
            <v>Brahmanbaria</v>
          </cell>
          <cell r="B17">
            <v>927385.94</v>
          </cell>
          <cell r="C17">
            <v>1</v>
          </cell>
        </row>
        <row r="18">
          <cell r="A18" t="str">
            <v>Chawk Bazar</v>
          </cell>
          <cell r="B18">
            <v>2356767.96</v>
          </cell>
          <cell r="C18">
            <v>1</v>
          </cell>
        </row>
        <row r="19">
          <cell r="A19" t="str">
            <v>Choumohoni</v>
          </cell>
          <cell r="B19">
            <v>2257986.78</v>
          </cell>
          <cell r="C19">
            <v>1</v>
          </cell>
        </row>
        <row r="20">
          <cell r="A20" t="str">
            <v>Chuadanga</v>
          </cell>
          <cell r="B20">
            <v>635150.73</v>
          </cell>
          <cell r="C20">
            <v>1</v>
          </cell>
        </row>
        <row r="21">
          <cell r="A21" t="str">
            <v>Comilla West</v>
          </cell>
          <cell r="B21">
            <v>647716.9</v>
          </cell>
          <cell r="C21">
            <v>1</v>
          </cell>
        </row>
        <row r="22">
          <cell r="A22" t="str">
            <v>Companygonj</v>
          </cell>
          <cell r="B22">
            <v>811084.44</v>
          </cell>
          <cell r="C22">
            <v>1</v>
          </cell>
        </row>
        <row r="23">
          <cell r="A23" t="str">
            <v>Cox's Bazar</v>
          </cell>
          <cell r="B23">
            <v>4167931.62</v>
          </cell>
          <cell r="C23">
            <v>2</v>
          </cell>
        </row>
        <row r="24">
          <cell r="A24" t="str">
            <v>Daulatpur</v>
          </cell>
          <cell r="B24">
            <v>4137533.81</v>
          </cell>
          <cell r="C24">
            <v>2</v>
          </cell>
        </row>
        <row r="25">
          <cell r="A25" t="str">
            <v>DEPZ</v>
          </cell>
          <cell r="B25">
            <v>2421306.39</v>
          </cell>
          <cell r="C25">
            <v>1</v>
          </cell>
        </row>
        <row r="26">
          <cell r="A26" t="str">
            <v>Dhamrai</v>
          </cell>
          <cell r="B26">
            <v>598875.2</v>
          </cell>
          <cell r="C26">
            <v>1</v>
          </cell>
        </row>
        <row r="27">
          <cell r="A27" t="str">
            <v>Dinajpur</v>
          </cell>
          <cell r="B27">
            <v>487136.82</v>
          </cell>
          <cell r="C27">
            <v>1</v>
          </cell>
        </row>
        <row r="28">
          <cell r="A28" t="str">
            <v>Elephant Road</v>
          </cell>
          <cell r="B28">
            <v>2364944.8</v>
          </cell>
          <cell r="C28">
            <v>1</v>
          </cell>
        </row>
        <row r="29">
          <cell r="A29" t="str">
            <v>Faridpur</v>
          </cell>
          <cell r="B29">
            <v>4657566.4</v>
          </cell>
          <cell r="C29">
            <v>2</v>
          </cell>
        </row>
        <row r="30">
          <cell r="A30" t="str">
            <v>Fatullah</v>
          </cell>
          <cell r="B30">
            <v>1701747.29</v>
          </cell>
          <cell r="C30">
            <v>2</v>
          </cell>
        </row>
        <row r="31">
          <cell r="A31" t="str">
            <v>Gazipur</v>
          </cell>
          <cell r="B31">
            <v>8170953.46</v>
          </cell>
          <cell r="C31">
            <v>5</v>
          </cell>
        </row>
        <row r="32">
          <cell r="A32" t="str">
            <v>Ghatail</v>
          </cell>
          <cell r="B32">
            <v>826917.25</v>
          </cell>
          <cell r="C32">
            <v>1</v>
          </cell>
        </row>
        <row r="33">
          <cell r="A33" t="str">
            <v>Gulistan</v>
          </cell>
          <cell r="B33">
            <v>1464195.41</v>
          </cell>
          <cell r="C33">
            <v>1</v>
          </cell>
        </row>
        <row r="34">
          <cell r="A34" t="str">
            <v>Hasnabad</v>
          </cell>
          <cell r="B34">
            <v>1300374.72</v>
          </cell>
          <cell r="C34">
            <v>1</v>
          </cell>
        </row>
        <row r="35">
          <cell r="A35" t="str">
            <v>Hathazari</v>
          </cell>
          <cell r="B35">
            <v>5290379.67</v>
          </cell>
          <cell r="C35">
            <v>3</v>
          </cell>
        </row>
        <row r="36">
          <cell r="A36" t="str">
            <v>Hazigonj</v>
          </cell>
          <cell r="B36">
            <v>1264623.61</v>
          </cell>
          <cell r="C36">
            <v>1</v>
          </cell>
        </row>
        <row r="37">
          <cell r="A37" t="str">
            <v>Hobigonj</v>
          </cell>
          <cell r="B37">
            <v>521856.35</v>
          </cell>
          <cell r="C37">
            <v>1</v>
          </cell>
        </row>
        <row r="38">
          <cell r="A38" t="str">
            <v>Ishwardi</v>
          </cell>
          <cell r="B38">
            <v>12789704.92</v>
          </cell>
          <cell r="C38">
            <v>1</v>
          </cell>
        </row>
        <row r="39">
          <cell r="A39" t="str">
            <v>Islampur Road</v>
          </cell>
          <cell r="B39">
            <v>3992796.94</v>
          </cell>
          <cell r="C39">
            <v>1</v>
          </cell>
        </row>
        <row r="40">
          <cell r="A40" t="str">
            <v>Jatrabari</v>
          </cell>
          <cell r="B40">
            <v>5766848.68</v>
          </cell>
          <cell r="C40">
            <v>3</v>
          </cell>
        </row>
        <row r="41">
          <cell r="A41" t="str">
            <v>Jessore</v>
          </cell>
          <cell r="B41">
            <v>1762800.35</v>
          </cell>
          <cell r="C41">
            <v>1</v>
          </cell>
        </row>
        <row r="42">
          <cell r="A42" t="str">
            <v>Jikorgacha</v>
          </cell>
          <cell r="B42">
            <v>1037102.36</v>
          </cell>
          <cell r="C42">
            <v>1</v>
          </cell>
        </row>
        <row r="43">
          <cell r="A43" t="str">
            <v>Joydebpur</v>
          </cell>
          <cell r="B43">
            <v>2497993.34</v>
          </cell>
          <cell r="C43">
            <v>1</v>
          </cell>
        </row>
        <row r="44">
          <cell r="A44" t="str">
            <v>Kadamtali</v>
          </cell>
          <cell r="B44">
            <v>2173690.96</v>
          </cell>
          <cell r="C44">
            <v>2</v>
          </cell>
        </row>
        <row r="45">
          <cell r="A45" t="str">
            <v>Kazipara</v>
          </cell>
          <cell r="B45">
            <v>752240.07</v>
          </cell>
          <cell r="C45">
            <v>1</v>
          </cell>
        </row>
        <row r="46">
          <cell r="A46" t="str">
            <v>Keranigonj</v>
          </cell>
          <cell r="B46">
            <v>873043.67</v>
          </cell>
          <cell r="C46">
            <v>1</v>
          </cell>
        </row>
        <row r="47">
          <cell r="A47" t="str">
            <v>Keshobpur</v>
          </cell>
          <cell r="B47">
            <v>3413620.04</v>
          </cell>
          <cell r="C47">
            <v>2</v>
          </cell>
        </row>
        <row r="48">
          <cell r="A48" t="str">
            <v>Khatungonj</v>
          </cell>
          <cell r="B48">
            <v>4545172.02</v>
          </cell>
          <cell r="C48">
            <v>2</v>
          </cell>
        </row>
        <row r="49">
          <cell r="A49" t="str">
            <v>Khulna</v>
          </cell>
          <cell r="B49">
            <v>12459504.14</v>
          </cell>
          <cell r="C49">
            <v>2</v>
          </cell>
        </row>
        <row r="50">
          <cell r="A50" t="str">
            <v>Kosba</v>
          </cell>
          <cell r="B50">
            <v>2123618.03</v>
          </cell>
          <cell r="C50">
            <v>2</v>
          </cell>
        </row>
        <row r="51">
          <cell r="A51" t="str">
            <v>Kotiadi</v>
          </cell>
          <cell r="B51">
            <v>363532.41</v>
          </cell>
          <cell r="C51">
            <v>1</v>
          </cell>
        </row>
        <row r="52">
          <cell r="A52" t="str">
            <v>Lohagora, CTG</v>
          </cell>
          <cell r="B52">
            <v>999277.64</v>
          </cell>
          <cell r="C52">
            <v>1</v>
          </cell>
        </row>
        <row r="53">
          <cell r="A53" t="str">
            <v>Madhabpur</v>
          </cell>
          <cell r="B53">
            <v>2418053.93</v>
          </cell>
          <cell r="C53">
            <v>2</v>
          </cell>
        </row>
        <row r="54">
          <cell r="A54" t="str">
            <v>Maijdee</v>
          </cell>
          <cell r="B54">
            <v>1612106.06</v>
          </cell>
          <cell r="C54">
            <v>2</v>
          </cell>
        </row>
        <row r="55">
          <cell r="A55" t="str">
            <v>Mirpur</v>
          </cell>
          <cell r="B55">
            <v>12060734.34</v>
          </cell>
          <cell r="C55">
            <v>5</v>
          </cell>
        </row>
        <row r="56">
          <cell r="A56" t="str">
            <v>Mohammadpur</v>
          </cell>
          <cell r="B56">
            <v>1420266.12</v>
          </cell>
          <cell r="C56">
            <v>1</v>
          </cell>
        </row>
        <row r="57">
          <cell r="A57" t="str">
            <v>Mymensingh</v>
          </cell>
          <cell r="B57">
            <v>1503462.9</v>
          </cell>
          <cell r="C57">
            <v>1</v>
          </cell>
        </row>
        <row r="58">
          <cell r="A58" t="str">
            <v>Narail</v>
          </cell>
          <cell r="B58">
            <v>827277.82</v>
          </cell>
          <cell r="C58">
            <v>2</v>
          </cell>
        </row>
        <row r="59">
          <cell r="A59" t="str">
            <v>Nawabgonj</v>
          </cell>
          <cell r="B59">
            <v>1573589.7</v>
          </cell>
          <cell r="C59">
            <v>1</v>
          </cell>
        </row>
        <row r="60">
          <cell r="A60" t="str">
            <v>Nondon Kanon</v>
          </cell>
          <cell r="B60">
            <v>3597635.06</v>
          </cell>
          <cell r="C60">
            <v>1</v>
          </cell>
        </row>
        <row r="61">
          <cell r="A61" t="str">
            <v>Pabna</v>
          </cell>
          <cell r="B61">
            <v>3422359.53</v>
          </cell>
          <cell r="C61">
            <v>3</v>
          </cell>
        </row>
        <row r="62">
          <cell r="A62" t="str">
            <v>Patuakhali</v>
          </cell>
          <cell r="B62">
            <v>9479963.82</v>
          </cell>
          <cell r="C62">
            <v>3</v>
          </cell>
        </row>
        <row r="63">
          <cell r="A63" t="str">
            <v>Potiya</v>
          </cell>
          <cell r="B63">
            <v>2041804.66</v>
          </cell>
          <cell r="C63">
            <v>1</v>
          </cell>
        </row>
        <row r="64">
          <cell r="A64" t="str">
            <v>Rajshahi</v>
          </cell>
          <cell r="B64">
            <v>1221046.22</v>
          </cell>
          <cell r="C64">
            <v>1</v>
          </cell>
        </row>
        <row r="65">
          <cell r="A65" t="str">
            <v>Rangpur</v>
          </cell>
          <cell r="B65">
            <v>2085063.73</v>
          </cell>
          <cell r="C65">
            <v>3</v>
          </cell>
        </row>
        <row r="66">
          <cell r="A66" t="str">
            <v>Savar</v>
          </cell>
          <cell r="B66">
            <v>2705659.07</v>
          </cell>
          <cell r="C66">
            <v>2</v>
          </cell>
        </row>
        <row r="67">
          <cell r="A67" t="str">
            <v>Savar-2</v>
          </cell>
          <cell r="B67">
            <v>1832513.5</v>
          </cell>
          <cell r="C67">
            <v>1</v>
          </cell>
        </row>
        <row r="68">
          <cell r="A68" t="str">
            <v>Shaheshtagonj</v>
          </cell>
          <cell r="B68">
            <v>2876546.24</v>
          </cell>
          <cell r="C68">
            <v>2</v>
          </cell>
        </row>
        <row r="69">
          <cell r="A69" t="str">
            <v>Shambazar</v>
          </cell>
          <cell r="B69">
            <v>1414301.24</v>
          </cell>
          <cell r="C69">
            <v>1</v>
          </cell>
        </row>
        <row r="70">
          <cell r="A70" t="str">
            <v>South Surma</v>
          </cell>
          <cell r="B70">
            <v>1473758.34</v>
          </cell>
          <cell r="C70">
            <v>1</v>
          </cell>
        </row>
        <row r="71">
          <cell r="A71" t="str">
            <v>Swarupkathi</v>
          </cell>
          <cell r="B71">
            <v>4736867.29</v>
          </cell>
          <cell r="C71">
            <v>2</v>
          </cell>
        </row>
        <row r="72">
          <cell r="A72" t="str">
            <v>Tangail</v>
          </cell>
          <cell r="B72">
            <v>1108861.37</v>
          </cell>
          <cell r="C72">
            <v>1</v>
          </cell>
        </row>
        <row r="73">
          <cell r="A73" t="str">
            <v>Thakurgaon</v>
          </cell>
          <cell r="B73">
            <v>1661412.78</v>
          </cell>
          <cell r="C73">
            <v>2</v>
          </cell>
        </row>
        <row r="74">
          <cell r="A74" t="str">
            <v>Tongi</v>
          </cell>
          <cell r="B74">
            <v>1892237.48</v>
          </cell>
          <cell r="C74">
            <v>2</v>
          </cell>
        </row>
        <row r="75">
          <cell r="A75" t="str">
            <v>Grand Total</v>
          </cell>
          <cell r="B75">
            <v>178246336.52</v>
          </cell>
          <cell r="C75">
            <v>108</v>
          </cell>
        </row>
      </sheetData>
      <sheetData sheetId="19" refreshError="1">
        <row r="4">
          <cell r="A4" t="str">
            <v>Agailjhara</v>
          </cell>
          <cell r="B4">
            <v>116930488.35</v>
          </cell>
        </row>
        <row r="5">
          <cell r="A5" t="str">
            <v>Ambarkhana</v>
          </cell>
          <cell r="B5">
            <v>121548266.8</v>
          </cell>
        </row>
        <row r="6">
          <cell r="A6" t="str">
            <v>Anderkilla</v>
          </cell>
          <cell r="B6">
            <v>175217947.14</v>
          </cell>
        </row>
        <row r="7">
          <cell r="A7" t="str">
            <v>Ashulia</v>
          </cell>
          <cell r="B7">
            <v>36046419.33</v>
          </cell>
        </row>
        <row r="8">
          <cell r="A8" t="str">
            <v>Badda</v>
          </cell>
          <cell r="B8">
            <v>189901499.38</v>
          </cell>
        </row>
        <row r="9">
          <cell r="A9" t="str">
            <v>Bagerhat</v>
          </cell>
          <cell r="B9">
            <v>100042164.79</v>
          </cell>
        </row>
        <row r="10">
          <cell r="A10" t="str">
            <v>Baligaon</v>
          </cell>
          <cell r="B10">
            <v>65294598.5</v>
          </cell>
        </row>
        <row r="11">
          <cell r="A11" t="str">
            <v>Banasree</v>
          </cell>
          <cell r="B11">
            <v>154958967.89</v>
          </cell>
        </row>
        <row r="12">
          <cell r="A12" t="str">
            <v>Bancharampur</v>
          </cell>
          <cell r="B12">
            <v>70397775.12</v>
          </cell>
        </row>
        <row r="13">
          <cell r="A13" t="str">
            <v>Bandartila </v>
          </cell>
          <cell r="B13">
            <v>97744012.21</v>
          </cell>
        </row>
        <row r="14">
          <cell r="A14" t="str">
            <v>Barguna</v>
          </cell>
          <cell r="B14">
            <v>58680805.05</v>
          </cell>
        </row>
        <row r="15">
          <cell r="A15" t="str">
            <v>Barishal</v>
          </cell>
          <cell r="B15">
            <v>140297485.06</v>
          </cell>
        </row>
        <row r="16">
          <cell r="A16" t="str">
            <v>Bhanga</v>
          </cell>
          <cell r="B16">
            <v>170675582.37</v>
          </cell>
        </row>
        <row r="17">
          <cell r="A17" t="str">
            <v>Bharaib</v>
          </cell>
          <cell r="B17">
            <v>103315479.17</v>
          </cell>
        </row>
        <row r="18">
          <cell r="A18" t="str">
            <v>Bheramara</v>
          </cell>
          <cell r="B18">
            <v>88571427.81</v>
          </cell>
        </row>
        <row r="19">
          <cell r="A19" t="str">
            <v>Bhola</v>
          </cell>
          <cell r="B19">
            <v>48416598.47</v>
          </cell>
        </row>
        <row r="20">
          <cell r="A20" t="str">
            <v>Bhulta</v>
          </cell>
          <cell r="B20">
            <v>104573559.25</v>
          </cell>
        </row>
        <row r="21">
          <cell r="A21" t="str">
            <v>Bogura</v>
          </cell>
          <cell r="B21">
            <v>156809134.5</v>
          </cell>
        </row>
        <row r="22">
          <cell r="A22" t="str">
            <v>Brahmanbaria</v>
          </cell>
          <cell r="B22">
            <v>142460452.39</v>
          </cell>
        </row>
        <row r="23">
          <cell r="A23" t="str">
            <v>C. Nawabganj</v>
          </cell>
          <cell r="B23">
            <v>140427016.83</v>
          </cell>
        </row>
        <row r="24">
          <cell r="A24" t="str">
            <v>Chandina</v>
          </cell>
          <cell r="B24">
            <v>193568701.97</v>
          </cell>
        </row>
        <row r="25">
          <cell r="A25" t="str">
            <v>Chauddagram</v>
          </cell>
          <cell r="B25">
            <v>136168511.49</v>
          </cell>
        </row>
        <row r="26">
          <cell r="A26" t="str">
            <v>Chawk Bazar</v>
          </cell>
          <cell r="B26">
            <v>213760500.17</v>
          </cell>
        </row>
        <row r="27">
          <cell r="A27" t="str">
            <v>Choumohoni</v>
          </cell>
          <cell r="B27">
            <v>145936559.13</v>
          </cell>
        </row>
        <row r="28">
          <cell r="A28" t="str">
            <v>Chuadanga</v>
          </cell>
          <cell r="B28">
            <v>114458092.64</v>
          </cell>
        </row>
        <row r="29">
          <cell r="A29" t="str">
            <v>Comilla East</v>
          </cell>
          <cell r="B29">
            <v>147661740.81</v>
          </cell>
        </row>
        <row r="30">
          <cell r="A30" t="str">
            <v>Comilla West</v>
          </cell>
          <cell r="B30">
            <v>74698129.31</v>
          </cell>
        </row>
        <row r="31">
          <cell r="A31" t="str">
            <v>Companygonj</v>
          </cell>
          <cell r="B31">
            <v>141132867.72</v>
          </cell>
        </row>
        <row r="32">
          <cell r="A32" t="str">
            <v>Cox's Bazar</v>
          </cell>
          <cell r="B32">
            <v>50640425.28</v>
          </cell>
        </row>
        <row r="33">
          <cell r="A33" t="str">
            <v>Daulatpur</v>
          </cell>
          <cell r="B33">
            <v>113618310.08</v>
          </cell>
        </row>
        <row r="34">
          <cell r="A34" t="str">
            <v>DEPZ</v>
          </cell>
          <cell r="B34">
            <v>90866907</v>
          </cell>
        </row>
        <row r="35">
          <cell r="A35" t="str">
            <v>Dhamrai</v>
          </cell>
          <cell r="B35">
            <v>58628419.28</v>
          </cell>
        </row>
        <row r="36">
          <cell r="A36" t="str">
            <v>Dinajpur</v>
          </cell>
          <cell r="B36">
            <v>91292925.4</v>
          </cell>
        </row>
        <row r="37">
          <cell r="A37" t="str">
            <v>Elephant Road</v>
          </cell>
          <cell r="B37">
            <v>155417824.53</v>
          </cell>
        </row>
        <row r="38">
          <cell r="A38" t="str">
            <v>Faridpur</v>
          </cell>
          <cell r="B38">
            <v>125527437.04</v>
          </cell>
        </row>
        <row r="39">
          <cell r="A39" t="str">
            <v>Fatullah</v>
          </cell>
          <cell r="B39">
            <v>78811240.45</v>
          </cell>
        </row>
        <row r="40">
          <cell r="A40" t="str">
            <v>Feni</v>
          </cell>
          <cell r="B40">
            <v>176483568.29</v>
          </cell>
        </row>
        <row r="41">
          <cell r="A41" t="str">
            <v>Fulbari</v>
          </cell>
          <cell r="B41">
            <v>46898419.38</v>
          </cell>
        </row>
        <row r="42">
          <cell r="A42" t="str">
            <v>Gaibandha</v>
          </cell>
          <cell r="B42">
            <v>101869719.16</v>
          </cell>
        </row>
        <row r="43">
          <cell r="A43" t="str">
            <v>Gazipur</v>
          </cell>
          <cell r="B43">
            <v>152862409.21</v>
          </cell>
        </row>
        <row r="44">
          <cell r="A44" t="str">
            <v>Ghatail</v>
          </cell>
          <cell r="B44">
            <v>68133440.49</v>
          </cell>
        </row>
        <row r="45">
          <cell r="A45" t="str">
            <v>Gopalgonj</v>
          </cell>
          <cell r="B45">
            <v>123870959.86</v>
          </cell>
        </row>
        <row r="46">
          <cell r="A46" t="str">
            <v>Gulistan</v>
          </cell>
          <cell r="B46">
            <v>156530523.87</v>
          </cell>
        </row>
        <row r="47">
          <cell r="A47" t="str">
            <v>Halishahar</v>
          </cell>
          <cell r="B47">
            <v>144409970.71</v>
          </cell>
        </row>
        <row r="48">
          <cell r="A48" t="str">
            <v>Hasnabad</v>
          </cell>
          <cell r="B48">
            <v>87055034.14</v>
          </cell>
        </row>
        <row r="49">
          <cell r="A49" t="str">
            <v>Hathazari</v>
          </cell>
          <cell r="B49">
            <v>155657481.28</v>
          </cell>
        </row>
        <row r="50">
          <cell r="A50" t="str">
            <v>Hazigonj</v>
          </cell>
          <cell r="B50">
            <v>125431716.67</v>
          </cell>
        </row>
        <row r="51">
          <cell r="A51" t="str">
            <v>Hobigonj</v>
          </cell>
          <cell r="B51">
            <v>134190565.84</v>
          </cell>
        </row>
        <row r="52">
          <cell r="A52" t="str">
            <v>Imamgonj</v>
          </cell>
          <cell r="B52">
            <v>146365975.45</v>
          </cell>
        </row>
        <row r="53">
          <cell r="A53" t="str">
            <v>Ishwardi</v>
          </cell>
          <cell r="B53">
            <v>157062025.13</v>
          </cell>
        </row>
        <row r="54">
          <cell r="A54" t="str">
            <v>Islambagh</v>
          </cell>
          <cell r="B54">
            <v>106569661.64</v>
          </cell>
        </row>
        <row r="55">
          <cell r="A55" t="str">
            <v>Islampur Road</v>
          </cell>
          <cell r="B55">
            <v>245457946.55</v>
          </cell>
        </row>
        <row r="56">
          <cell r="A56" t="str">
            <v>Jamalpur</v>
          </cell>
          <cell r="B56">
            <v>19146358.65</v>
          </cell>
        </row>
        <row r="57">
          <cell r="A57" t="str">
            <v>Jatrabari</v>
          </cell>
          <cell r="B57">
            <v>178668007.58</v>
          </cell>
        </row>
        <row r="58">
          <cell r="A58" t="str">
            <v>Jessore</v>
          </cell>
          <cell r="B58">
            <v>210683641.12</v>
          </cell>
        </row>
        <row r="59">
          <cell r="A59" t="str">
            <v>Jhenaidah</v>
          </cell>
          <cell r="B59">
            <v>110871455.87</v>
          </cell>
        </row>
        <row r="60">
          <cell r="A60" t="str">
            <v>Jikorgacha</v>
          </cell>
          <cell r="B60">
            <v>98291659.48</v>
          </cell>
        </row>
        <row r="61">
          <cell r="A61" t="str">
            <v>Joydebpur</v>
          </cell>
          <cell r="B61">
            <v>131229504.74</v>
          </cell>
        </row>
        <row r="62">
          <cell r="A62" t="str">
            <v>Joypurhat</v>
          </cell>
          <cell r="B62">
            <v>60816462.2</v>
          </cell>
        </row>
        <row r="63">
          <cell r="A63" t="str">
            <v>Kadamtali</v>
          </cell>
          <cell r="B63">
            <v>111036485.63</v>
          </cell>
        </row>
        <row r="64">
          <cell r="A64" t="str">
            <v>Kalurghat</v>
          </cell>
          <cell r="B64">
            <v>110660788.83</v>
          </cell>
        </row>
        <row r="65">
          <cell r="A65" t="str">
            <v>Kamrangirchar</v>
          </cell>
          <cell r="B65">
            <v>113605953.15</v>
          </cell>
        </row>
        <row r="66">
          <cell r="A66" t="str">
            <v>Kazipara</v>
          </cell>
          <cell r="B66">
            <v>127129772.49</v>
          </cell>
        </row>
        <row r="67">
          <cell r="A67" t="str">
            <v>Keranigonj</v>
          </cell>
          <cell r="B67">
            <v>146409432.89</v>
          </cell>
        </row>
        <row r="68">
          <cell r="A68" t="str">
            <v>Keshobpur</v>
          </cell>
          <cell r="B68">
            <v>164735117.71</v>
          </cell>
        </row>
        <row r="69">
          <cell r="A69" t="str">
            <v>Khatungonj</v>
          </cell>
          <cell r="B69">
            <v>139014742.78</v>
          </cell>
        </row>
        <row r="70">
          <cell r="A70" t="str">
            <v>Khulna</v>
          </cell>
          <cell r="B70">
            <v>264143070.3</v>
          </cell>
        </row>
        <row r="71">
          <cell r="A71" t="str">
            <v>Konabari</v>
          </cell>
          <cell r="B71">
            <v>152491305.69</v>
          </cell>
        </row>
        <row r="72">
          <cell r="A72" t="str">
            <v>Kosba</v>
          </cell>
          <cell r="B72">
            <v>159769600.18</v>
          </cell>
        </row>
        <row r="73">
          <cell r="A73" t="str">
            <v>Kotiadi</v>
          </cell>
          <cell r="B73">
            <v>134566285.04</v>
          </cell>
        </row>
        <row r="74">
          <cell r="A74" t="str">
            <v>Kulaura </v>
          </cell>
          <cell r="B74">
            <v>95783969.18</v>
          </cell>
        </row>
        <row r="75">
          <cell r="A75" t="str">
            <v>Kurigram</v>
          </cell>
          <cell r="B75">
            <v>123830509.21</v>
          </cell>
        </row>
        <row r="76">
          <cell r="A76" t="str">
            <v>Kushtia</v>
          </cell>
          <cell r="B76">
            <v>122342770.16</v>
          </cell>
        </row>
        <row r="77">
          <cell r="A77" t="str">
            <v>Laksham</v>
          </cell>
          <cell r="B77">
            <v>89221474.21</v>
          </cell>
        </row>
        <row r="78">
          <cell r="A78" t="str">
            <v>Laxmipur</v>
          </cell>
          <cell r="B78">
            <v>97712031.51</v>
          </cell>
        </row>
        <row r="79">
          <cell r="A79" t="str">
            <v>Lohagora, CTG</v>
          </cell>
          <cell r="B79">
            <v>110320392.75</v>
          </cell>
        </row>
        <row r="80">
          <cell r="A80" t="str">
            <v>Madhabpur</v>
          </cell>
          <cell r="B80">
            <v>189469188.58</v>
          </cell>
        </row>
        <row r="81">
          <cell r="A81" t="str">
            <v>Magura</v>
          </cell>
          <cell r="B81">
            <v>66229912.25</v>
          </cell>
        </row>
        <row r="82">
          <cell r="A82" t="str">
            <v>Maijdee</v>
          </cell>
          <cell r="B82">
            <v>149097497.37</v>
          </cell>
        </row>
        <row r="83">
          <cell r="A83" t="str">
            <v>Manikgonj</v>
          </cell>
          <cell r="B83">
            <v>37556393.87</v>
          </cell>
        </row>
        <row r="84">
          <cell r="A84" t="str">
            <v>Mirpur</v>
          </cell>
          <cell r="B84">
            <v>307699172.16</v>
          </cell>
        </row>
        <row r="85">
          <cell r="A85" t="str">
            <v>Moghbazar</v>
          </cell>
          <cell r="B85">
            <v>131198050.43</v>
          </cell>
        </row>
        <row r="86">
          <cell r="A86" t="str">
            <v>Mohammadpur</v>
          </cell>
          <cell r="B86">
            <v>109067166.75</v>
          </cell>
        </row>
        <row r="87">
          <cell r="A87" t="str">
            <v>Mymensingh</v>
          </cell>
          <cell r="B87">
            <v>194591847.91</v>
          </cell>
        </row>
        <row r="88">
          <cell r="A88" t="str">
            <v>Nangolkot</v>
          </cell>
          <cell r="B88">
            <v>156057212.58</v>
          </cell>
        </row>
        <row r="89">
          <cell r="A89" t="str">
            <v>Naogaon</v>
          </cell>
          <cell r="B89">
            <v>141992011.33</v>
          </cell>
        </row>
        <row r="90">
          <cell r="A90" t="str">
            <v>Narail</v>
          </cell>
          <cell r="B90">
            <v>90523043.14</v>
          </cell>
        </row>
        <row r="91">
          <cell r="A91" t="str">
            <v>Narayangonj</v>
          </cell>
          <cell r="B91">
            <v>156043398.1</v>
          </cell>
        </row>
        <row r="92">
          <cell r="A92" t="str">
            <v>Narsingdi</v>
          </cell>
          <cell r="B92">
            <v>292867729.12</v>
          </cell>
        </row>
        <row r="93">
          <cell r="A93" t="str">
            <v>Nawabgonj</v>
          </cell>
          <cell r="B93">
            <v>146580849.26</v>
          </cell>
        </row>
        <row r="94">
          <cell r="A94" t="str">
            <v>Nawabpur</v>
          </cell>
          <cell r="B94">
            <v>137494059.69</v>
          </cell>
        </row>
        <row r="95">
          <cell r="A95" t="str">
            <v>Nondon Kanon</v>
          </cell>
          <cell r="B95">
            <v>159957822.84</v>
          </cell>
        </row>
        <row r="96">
          <cell r="A96" t="str">
            <v>Pabna</v>
          </cell>
          <cell r="B96">
            <v>217285660.23</v>
          </cell>
        </row>
        <row r="97">
          <cell r="A97" t="str">
            <v>Pahartali</v>
          </cell>
          <cell r="B97">
            <v>162278487.57</v>
          </cell>
        </row>
        <row r="98">
          <cell r="A98" t="str">
            <v>Panchaghar</v>
          </cell>
          <cell r="B98">
            <v>69785223.54</v>
          </cell>
        </row>
        <row r="99">
          <cell r="A99" t="str">
            <v>Patuakhali</v>
          </cell>
          <cell r="B99">
            <v>139310133.65</v>
          </cell>
        </row>
        <row r="100">
          <cell r="A100" t="str">
            <v>Potiya</v>
          </cell>
          <cell r="B100">
            <v>79912798.42</v>
          </cell>
        </row>
        <row r="101">
          <cell r="A101" t="str">
            <v>Rajbari</v>
          </cell>
          <cell r="B101">
            <v>87674571.76</v>
          </cell>
        </row>
        <row r="102">
          <cell r="A102" t="str">
            <v>Rajshahi</v>
          </cell>
          <cell r="B102">
            <v>222479409.37</v>
          </cell>
        </row>
        <row r="103">
          <cell r="A103" t="str">
            <v>Rangpur</v>
          </cell>
          <cell r="B103">
            <v>121166933.1</v>
          </cell>
        </row>
        <row r="104">
          <cell r="A104" t="str">
            <v>Sathkhira</v>
          </cell>
          <cell r="B104">
            <v>49023403</v>
          </cell>
        </row>
        <row r="105">
          <cell r="A105" t="str">
            <v>Savar</v>
          </cell>
          <cell r="B105">
            <v>74183292.54</v>
          </cell>
        </row>
        <row r="106">
          <cell r="A106" t="str">
            <v>Savar-2</v>
          </cell>
          <cell r="B106">
            <v>129239010.39</v>
          </cell>
        </row>
        <row r="107">
          <cell r="A107" t="str">
            <v>Shaheshtagonj</v>
          </cell>
          <cell r="B107">
            <v>165284196.8</v>
          </cell>
        </row>
        <row r="108">
          <cell r="A108" t="str">
            <v>Shambazar</v>
          </cell>
          <cell r="B108">
            <v>269828979.91</v>
          </cell>
        </row>
        <row r="109">
          <cell r="A109" t="str">
            <v>Shariatpur</v>
          </cell>
          <cell r="B109">
            <v>161496606.03</v>
          </cell>
        </row>
        <row r="110">
          <cell r="A110" t="str">
            <v>Sherpur</v>
          </cell>
          <cell r="B110">
            <v>58350805.95</v>
          </cell>
        </row>
        <row r="111">
          <cell r="A111" t="str">
            <v>Shiddirgonj</v>
          </cell>
          <cell r="B111">
            <v>157443463.33</v>
          </cell>
        </row>
        <row r="112">
          <cell r="A112" t="str">
            <v>Sirajgonj</v>
          </cell>
          <cell r="B112">
            <v>140393554.72</v>
          </cell>
        </row>
        <row r="113">
          <cell r="A113" t="str">
            <v>Sonir Akhra</v>
          </cell>
          <cell r="B113">
            <v>102502026.83</v>
          </cell>
        </row>
        <row r="114">
          <cell r="A114" t="str">
            <v>South Surma</v>
          </cell>
          <cell r="B114">
            <v>68438730.58</v>
          </cell>
        </row>
        <row r="115">
          <cell r="A115" t="str">
            <v>Sreenagar</v>
          </cell>
          <cell r="B115">
            <v>85997455.26</v>
          </cell>
        </row>
        <row r="116">
          <cell r="A116" t="str">
            <v>Sreepur</v>
          </cell>
          <cell r="B116">
            <v>167423919.94</v>
          </cell>
        </row>
        <row r="117">
          <cell r="A117" t="str">
            <v>Swarupkathi</v>
          </cell>
          <cell r="B117">
            <v>66845803.66</v>
          </cell>
        </row>
        <row r="118">
          <cell r="A118" t="str">
            <v>Syedpur</v>
          </cell>
          <cell r="B118">
            <v>89829083.32</v>
          </cell>
        </row>
        <row r="119">
          <cell r="A119" t="str">
            <v>Tangail</v>
          </cell>
          <cell r="B119">
            <v>89106455.83</v>
          </cell>
        </row>
        <row r="120">
          <cell r="A120" t="str">
            <v>Thakurgaon</v>
          </cell>
          <cell r="B120">
            <v>80116810.43</v>
          </cell>
        </row>
        <row r="121">
          <cell r="A121" t="str">
            <v>Tongi</v>
          </cell>
          <cell r="B121">
            <v>160726622.93</v>
          </cell>
        </row>
        <row r="122">
          <cell r="A122" t="str">
            <v>Zinzira</v>
          </cell>
          <cell r="B122">
            <v>75857193.82</v>
          </cell>
        </row>
        <row r="123">
          <cell r="A123" t="str">
            <v>Grand Total</v>
          </cell>
          <cell r="B123">
            <v>15174234470.02</v>
          </cell>
        </row>
      </sheetData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86"/>
  <sheetViews>
    <sheetView workbookViewId="0">
      <selection activeCell="C7" sqref="C7"/>
    </sheetView>
  </sheetViews>
  <sheetFormatPr defaultColWidth="9" defaultRowHeight="14.4"/>
  <cols>
    <col min="1" max="1" width="18.3611111111111" customWidth="1"/>
    <col min="2" max="2" width="11" customWidth="1"/>
    <col min="7" max="7" width="12" customWidth="1"/>
    <col min="9" max="9" width="6.09259259259259" customWidth="1"/>
  </cols>
  <sheetData>
    <row r="1" spans="1:20">
      <c r="B1" s="35" t="s">
        <v>0</v>
      </c>
      <c r="C1" s="35"/>
      <c r="D1" s="35"/>
      <c r="E1" s="35"/>
      <c r="F1" s="35"/>
      <c r="G1" s="35"/>
      <c r="H1" s="35"/>
      <c r="I1" s="35"/>
      <c r="J1" s="35"/>
      <c r="K1" s="58"/>
      <c r="L1" s="59" t="s">
        <v>1</v>
      </c>
      <c r="M1" s="59"/>
      <c r="N1" s="59"/>
      <c r="O1" s="59"/>
      <c r="P1" s="59"/>
      <c r="Q1" s="59"/>
      <c r="R1" s="59"/>
      <c r="S1" s="59"/>
      <c r="T1" s="59"/>
    </row>
    <row r="2" spans="1:20">
      <c r="A2" s="36" t="s">
        <v>2</v>
      </c>
      <c r="B2" s="37" t="s">
        <v>3</v>
      </c>
      <c r="C2" s="37" t="s">
        <v>4</v>
      </c>
      <c r="D2" s="38" t="s">
        <v>5</v>
      </c>
      <c r="E2" s="37" t="s">
        <v>6</v>
      </c>
      <c r="F2" s="38" t="s">
        <v>7</v>
      </c>
      <c r="G2" s="39" t="s">
        <v>8</v>
      </c>
      <c r="H2" s="37" t="s">
        <v>9</v>
      </c>
      <c r="I2" s="38" t="s">
        <v>10</v>
      </c>
      <c r="J2" s="37" t="s">
        <v>11</v>
      </c>
      <c r="K2" s="38" t="s">
        <v>12</v>
      </c>
      <c r="L2" s="60" t="s">
        <v>3</v>
      </c>
      <c r="M2" s="60" t="s">
        <v>4</v>
      </c>
      <c r="N2" s="61" t="s">
        <v>5</v>
      </c>
      <c r="O2" s="60" t="s">
        <v>6</v>
      </c>
      <c r="P2" s="61" t="s">
        <v>13</v>
      </c>
      <c r="Q2" s="60" t="s">
        <v>8</v>
      </c>
      <c r="R2" s="60" t="s">
        <v>9</v>
      </c>
      <c r="S2" s="61" t="s">
        <v>10</v>
      </c>
      <c r="T2" s="60" t="s">
        <v>11</v>
      </c>
    </row>
    <row r="3" spans="1:20">
      <c r="A3" s="40" t="s">
        <v>14</v>
      </c>
      <c r="B3" s="43">
        <f>VLOOKUP(A3,[1]ticket_pivot!$A$6:$V$127,2,FALSE)</f>
        <v>874827.01</v>
      </c>
      <c r="C3" s="43">
        <f>VLOOKUP(A3,[1]ticket_pivot!$A$6:$V$127,3,FALSE)</f>
        <v>515938.13</v>
      </c>
      <c r="D3" s="44">
        <f>IFERROR(C3/B3,"")</f>
        <v>0.589760174414368</v>
      </c>
      <c r="E3" s="43">
        <f>VLOOKUP(A3,[1]ticket_pivot!$A$6:$V$127,4,FALSE)</f>
        <v>478567.83</v>
      </c>
      <c r="F3" s="44">
        <f>IFERROR(E3/C3,"")</f>
        <v>0.92756825319346</v>
      </c>
      <c r="G3" s="43">
        <f>VLOOKUP(A3,[1]Sheet12!$A$5:$G$125,2,FALSE)</f>
        <v>6545105.67</v>
      </c>
      <c r="H3" s="43">
        <f>VLOOKUP(A3,[1]NPL!$A$5:$H$119,2,FALSE)</f>
        <v>666108.08</v>
      </c>
      <c r="I3" s="44">
        <f>IFERROR(H3/G3,"")</f>
        <v>0.101771936708854</v>
      </c>
      <c r="J3" s="43">
        <f>VLOOKUP(A3,[1]PAR!$A$5:$H$120,2,FALSE)</f>
        <v>1168683.7</v>
      </c>
      <c r="K3" s="44">
        <f>IFERROR(J3/G3,"")</f>
        <v>0.178558415849075</v>
      </c>
      <c r="L3" s="43">
        <f>VLOOKUP(A3,[1]ticket_pivot!$A$6:$V$127,5,FALSE)</f>
        <v>13384691.46</v>
      </c>
      <c r="M3" s="43">
        <f>VLOOKUP(A3,[1]ticket_pivot!$A$6:$V$127,6,FALSE)</f>
        <v>4838785.86</v>
      </c>
      <c r="N3" s="44">
        <f>IFERROR(M3/L3,"")</f>
        <v>0.361516429008518</v>
      </c>
      <c r="O3" s="43">
        <f>VLOOKUP(A3,[1]ticket_pivot!$A$6:$V$127,7,FALSE)</f>
        <v>4662007.57</v>
      </c>
      <c r="P3" s="44">
        <f>IFERROR(O3/M3,"")</f>
        <v>0.963466395266353</v>
      </c>
      <c r="Q3" s="43">
        <f>VLOOKUP(A3,[1]Sheet12!$A$5:$G$125,3,FALSE)</f>
        <v>85864490.97</v>
      </c>
      <c r="R3" s="43">
        <f>VLOOKUP(A3,[1]NPL!$A$5:$H$119,3,FALSE)</f>
        <v>6488535.3</v>
      </c>
      <c r="S3" s="44">
        <f>IFERROR(R3/Q3,"")</f>
        <v>0.075567155021824</v>
      </c>
      <c r="T3" s="43">
        <f>VLOOKUP(A3,[1]PAR!$A$5:$H$120,3,FALSE)</f>
        <v>6488535.3</v>
      </c>
    </row>
    <row r="4" spans="1:20">
      <c r="A4" s="40" t="s">
        <v>15</v>
      </c>
      <c r="B4" s="43">
        <f>VLOOKUP(A4,[1]ticket_pivot!$A$6:$V$127,2,FALSE)</f>
        <v>425155.56</v>
      </c>
      <c r="C4" s="43">
        <f>VLOOKUP(A4,[1]ticket_pivot!$A$6:$V$127,3,FALSE)</f>
        <v>358092.83</v>
      </c>
      <c r="D4" s="44">
        <f t="shared" ref="D4:D67" si="0">IFERROR(C4/B4,"")</f>
        <v>0.842263076601891</v>
      </c>
      <c r="E4" s="43">
        <f>VLOOKUP(A4,[1]ticket_pivot!$A$6:$V$127,4,FALSE)</f>
        <v>304686.15</v>
      </c>
      <c r="F4" s="44">
        <f t="shared" ref="F4:F67" si="1">IFERROR(E4/C4,"")</f>
        <v>0.85085800237888</v>
      </c>
      <c r="G4" s="43">
        <f>VLOOKUP(A4,[1]Sheet12!$A$5:$G$125,2,FALSE)</f>
        <v>2993566.97</v>
      </c>
      <c r="H4" s="43">
        <f>VLOOKUP(A4,[1]NPL!$A$5:$H$119,2,FALSE)</f>
        <v>215494.88</v>
      </c>
      <c r="I4" s="44">
        <f t="shared" ref="I4:I67" si="2">IFERROR(H4/G4,"")</f>
        <v>0.0719859893430077</v>
      </c>
      <c r="J4" s="43">
        <f>VLOOKUP(A4,[1]PAR!$A$5:$H$120,2,FALSE)</f>
        <v>215494.88</v>
      </c>
      <c r="K4" s="44">
        <f t="shared" ref="K4:K67" si="3">IFERROR(J4/G4,"")</f>
        <v>0.0719859893430077</v>
      </c>
      <c r="L4" s="43">
        <f>VLOOKUP(A4,[1]ticket_pivot!$A$6:$V$127,5,FALSE)</f>
        <v>6856227.48</v>
      </c>
      <c r="M4" s="43">
        <f>VLOOKUP(A4,[1]ticket_pivot!$A$6:$V$127,6,FALSE)</f>
        <v>5342307.68</v>
      </c>
      <c r="N4" s="44">
        <f t="shared" ref="N4:N67" si="4">IFERROR(M4/L4,"")</f>
        <v>0.779190552761531</v>
      </c>
      <c r="O4" s="43">
        <f>VLOOKUP(A4,[1]ticket_pivot!$A$6:$V$127,7,FALSE)</f>
        <v>5194803.55</v>
      </c>
      <c r="P4" s="44">
        <f t="shared" ref="P4:P67" si="5">IFERROR(O4/M4,"")</f>
        <v>0.972389435645534</v>
      </c>
      <c r="Q4" s="43">
        <f>VLOOKUP(A4,[1]Sheet12!$A$5:$G$125,3,FALSE)</f>
        <v>114491473.98</v>
      </c>
      <c r="R4" s="43">
        <f>VLOOKUP(A4,[1]NPL!$A$5:$H$119,3,FALSE)</f>
        <v>644678.33</v>
      </c>
      <c r="S4" s="44">
        <f t="shared" ref="S4:S67" si="6">IFERROR(R4/Q4,"")</f>
        <v>0.00563079771435746</v>
      </c>
      <c r="T4" s="43">
        <f>VLOOKUP(A4,[1]PAR!$A$5:$H$120,3,FALSE)</f>
        <v>2254136.19</v>
      </c>
    </row>
    <row r="5" spans="1:20">
      <c r="A5" s="45" t="s">
        <v>16</v>
      </c>
      <c r="B5" s="46">
        <f>SUM(B3:B4)</f>
        <v>1299982.57</v>
      </c>
      <c r="C5" s="46">
        <f t="shared" ref="C5:T5" si="7">SUM(C3:C4)</f>
        <v>874030.96</v>
      </c>
      <c r="D5" s="47">
        <f t="shared" si="0"/>
        <v>0.672340522227156</v>
      </c>
      <c r="E5" s="46">
        <f t="shared" si="7"/>
        <v>783253.98</v>
      </c>
      <c r="F5" s="47">
        <f t="shared" si="1"/>
        <v>0.89613985756294</v>
      </c>
      <c r="G5" s="46">
        <f>SUM(G3:G4)</f>
        <v>9538672.64</v>
      </c>
      <c r="H5" s="46">
        <f>SUM(H3:H4)</f>
        <v>881602.96</v>
      </c>
      <c r="I5" s="47">
        <f t="shared" si="2"/>
        <v>0.092424071280425</v>
      </c>
      <c r="J5" s="46">
        <f t="shared" si="7"/>
        <v>1384178.58</v>
      </c>
      <c r="K5" s="47">
        <f t="shared" si="3"/>
        <v>0.14511228472141</v>
      </c>
      <c r="L5" s="46">
        <f t="shared" si="7"/>
        <v>20240918.94</v>
      </c>
      <c r="M5" s="46">
        <f t="shared" si="7"/>
        <v>10181093.54</v>
      </c>
      <c r="N5" s="47">
        <f t="shared" si="4"/>
        <v>0.502995618439051</v>
      </c>
      <c r="O5" s="46">
        <f t="shared" si="7"/>
        <v>9856811.12</v>
      </c>
      <c r="P5" s="47">
        <f t="shared" si="5"/>
        <v>0.968148566877817</v>
      </c>
      <c r="Q5" s="46">
        <f t="shared" si="7"/>
        <v>200355964.95</v>
      </c>
      <c r="R5" s="46">
        <f t="shared" si="7"/>
        <v>7133213.63</v>
      </c>
      <c r="S5" s="47">
        <f t="shared" si="6"/>
        <v>0.0356027015805601</v>
      </c>
      <c r="T5" s="46">
        <f t="shared" si="7"/>
        <v>8742671.49</v>
      </c>
    </row>
    <row r="6" spans="1:20">
      <c r="A6" s="40" t="s">
        <v>17</v>
      </c>
      <c r="B6" s="43">
        <f>VLOOKUP(A6,[1]ticket_pivot!$A$6:$V$127,2,FALSE)</f>
        <v>1489164.67</v>
      </c>
      <c r="C6" s="43">
        <f>VLOOKUP(A6,[1]ticket_pivot!$A$6:$V$127,3,FALSE)</f>
        <v>515517.2</v>
      </c>
      <c r="D6" s="44">
        <f t="shared" si="0"/>
        <v>0.346178774171429</v>
      </c>
      <c r="E6" s="43">
        <f>VLOOKUP(A6,[1]ticket_pivot!$A$6:$V$127,4,FALSE)</f>
        <v>452821.96</v>
      </c>
      <c r="F6" s="44">
        <f t="shared" si="1"/>
        <v>0.87838380562278</v>
      </c>
      <c r="G6" s="43">
        <f>VLOOKUP(A6,[1]Sheet12!$A$5:$G$125,2,FALSE)</f>
        <v>8172414.26</v>
      </c>
      <c r="H6" s="43">
        <f>VLOOKUP(A6,[1]NPL!$A$5:$H$119,2,FALSE)</f>
        <v>0</v>
      </c>
      <c r="I6" s="44">
        <f t="shared" si="2"/>
        <v>0</v>
      </c>
      <c r="J6" s="43">
        <f>VLOOKUP(A6,[1]PAR!$A$5:$H$120,2,FALSE)</f>
        <v>747477.35</v>
      </c>
      <c r="K6" s="44">
        <f t="shared" si="3"/>
        <v>0.0914634679813698</v>
      </c>
      <c r="L6" s="43">
        <f>VLOOKUP(A6,[1]ticket_pivot!$A$6:$V$127,5,FALSE)</f>
        <v>11745644.94</v>
      </c>
      <c r="M6" s="43">
        <f>VLOOKUP(A6,[1]ticket_pivot!$A$6:$V$127,6,FALSE)</f>
        <v>8173884.85</v>
      </c>
      <c r="N6" s="44">
        <f t="shared" si="4"/>
        <v>0.695907708070051</v>
      </c>
      <c r="O6" s="43">
        <f>VLOOKUP(A6,[1]ticket_pivot!$A$6:$V$127,7,FALSE)</f>
        <v>7882054.14</v>
      </c>
      <c r="P6" s="44">
        <f t="shared" si="5"/>
        <v>0.964297183609089</v>
      </c>
      <c r="Q6" s="43">
        <f>VLOOKUP(A6,[1]Sheet12!$A$5:$G$125,3,FALSE)</f>
        <v>69024816.31</v>
      </c>
      <c r="R6" s="43">
        <f>VLOOKUP(A6,[1]NPL!$A$5:$H$119,3,FALSE)</f>
        <v>2364939.79</v>
      </c>
      <c r="S6" s="44">
        <f t="shared" si="6"/>
        <v>0.0342621670933354</v>
      </c>
      <c r="T6" s="43">
        <f>VLOOKUP(A6,[1]PAR!$A$5:$H$120,3,FALSE)</f>
        <v>4313222.6</v>
      </c>
    </row>
    <row r="7" spans="1:20">
      <c r="A7" s="40" t="s">
        <v>18</v>
      </c>
      <c r="B7" s="43">
        <f>VLOOKUP(A7,[1]ticket_pivot!$A$6:$V$127,2,FALSE)</f>
        <v>965304.02</v>
      </c>
      <c r="C7" s="43">
        <f>VLOOKUP(A7,[1]ticket_pivot!$A$6:$V$127,3,FALSE)</f>
        <v>541897.95</v>
      </c>
      <c r="D7" s="44">
        <f t="shared" si="0"/>
        <v>0.561375420357205</v>
      </c>
      <c r="E7" s="43">
        <f>VLOOKUP(A7,[1]ticket_pivot!$A$6:$V$127,4,FALSE)</f>
        <v>428639.34</v>
      </c>
      <c r="F7" s="44">
        <f t="shared" si="1"/>
        <v>0.790996422850465</v>
      </c>
      <c r="G7" s="43">
        <f>VLOOKUP(A7,[1]Sheet12!$A$5:$G$125,2,FALSE)</f>
        <v>5678402.33</v>
      </c>
      <c r="H7" s="43">
        <f>VLOOKUP(A7,[1]NPL!$A$5:$H$119,2,FALSE)</f>
        <v>261854.09</v>
      </c>
      <c r="I7" s="44">
        <f t="shared" si="2"/>
        <v>0.046114043137905</v>
      </c>
      <c r="J7" s="43">
        <f>VLOOKUP(A7,[1]PAR!$A$5:$H$120,2,FALSE)</f>
        <v>475299.97</v>
      </c>
      <c r="K7" s="44">
        <f t="shared" si="3"/>
        <v>0.0837031161897259</v>
      </c>
      <c r="L7" s="43">
        <f>VLOOKUP(A7,[1]ticket_pivot!$A$6:$V$127,5,FALSE)</f>
        <v>14599720.46</v>
      </c>
      <c r="M7" s="43">
        <f>VLOOKUP(A7,[1]ticket_pivot!$A$6:$V$127,6,FALSE)</f>
        <v>7835222.75</v>
      </c>
      <c r="N7" s="44">
        <f t="shared" si="4"/>
        <v>0.536669367846239</v>
      </c>
      <c r="O7" s="43">
        <f>VLOOKUP(A7,[1]ticket_pivot!$A$6:$V$127,7,FALSE)</f>
        <v>7381949.95</v>
      </c>
      <c r="P7" s="44">
        <f t="shared" si="5"/>
        <v>0.942149340936095</v>
      </c>
      <c r="Q7" s="43">
        <f>VLOOKUP(A7,[1]Sheet12!$A$5:$G$125,3,FALSE)</f>
        <v>91070864.97</v>
      </c>
      <c r="R7" s="43">
        <f>VLOOKUP(A7,[1]NPL!$A$5:$H$119,3,FALSE)</f>
        <v>3892263.08</v>
      </c>
      <c r="S7" s="44">
        <f t="shared" si="6"/>
        <v>0.0427388394881521</v>
      </c>
      <c r="T7" s="43">
        <f>VLOOKUP(A7,[1]PAR!$A$5:$H$120,3,FALSE)</f>
        <v>7673010.96</v>
      </c>
    </row>
    <row r="8" spans="1:20">
      <c r="A8" s="45" t="s">
        <v>19</v>
      </c>
      <c r="B8" s="46">
        <f>SUM(B6:B7)</f>
        <v>2454468.69</v>
      </c>
      <c r="C8" s="46">
        <f t="shared" ref="C8:T8" si="8">SUM(C6:C7)</f>
        <v>1057415.15</v>
      </c>
      <c r="D8" s="47">
        <f t="shared" si="0"/>
        <v>0.430812238228225</v>
      </c>
      <c r="E8" s="46">
        <f t="shared" si="8"/>
        <v>881461.3</v>
      </c>
      <c r="F8" s="47">
        <f t="shared" si="1"/>
        <v>0.833600029278945</v>
      </c>
      <c r="G8" s="46">
        <f>SUM(G6:G7)</f>
        <v>13850816.59</v>
      </c>
      <c r="H8" s="46">
        <f>SUM(H6:H7)</f>
        <v>261854.09</v>
      </c>
      <c r="I8" s="47">
        <f t="shared" si="2"/>
        <v>0.0189053178416248</v>
      </c>
      <c r="J8" s="46">
        <f t="shared" si="8"/>
        <v>1222777.32</v>
      </c>
      <c r="K8" s="47">
        <f t="shared" si="3"/>
        <v>0.08828196605266</v>
      </c>
      <c r="L8" s="46">
        <f t="shared" si="8"/>
        <v>26345365.4</v>
      </c>
      <c r="M8" s="46">
        <f t="shared" si="8"/>
        <v>16009107.6</v>
      </c>
      <c r="N8" s="47">
        <f t="shared" si="4"/>
        <v>0.607663145184541</v>
      </c>
      <c r="O8" s="46">
        <f t="shared" si="8"/>
        <v>15264004.09</v>
      </c>
      <c r="P8" s="47">
        <f t="shared" si="5"/>
        <v>0.953457523766034</v>
      </c>
      <c r="Q8" s="46">
        <f t="shared" si="8"/>
        <v>160095681.28</v>
      </c>
      <c r="R8" s="46">
        <f t="shared" si="8"/>
        <v>6257202.87</v>
      </c>
      <c r="S8" s="47">
        <f t="shared" si="6"/>
        <v>0.0390841453059339</v>
      </c>
      <c r="T8" s="46">
        <f t="shared" si="8"/>
        <v>11986233.56</v>
      </c>
    </row>
    <row r="9" spans="1:20">
      <c r="A9" s="40" t="s">
        <v>20</v>
      </c>
      <c r="B9" s="43">
        <f>VLOOKUP(A9,[1]ticket_pivot!$A$6:$V$127,2,FALSE)</f>
        <v>1067101.55</v>
      </c>
      <c r="C9" s="43">
        <f>VLOOKUP(A9,[1]ticket_pivot!$A$6:$V$127,3,FALSE)</f>
        <v>783803.78</v>
      </c>
      <c r="D9" s="44">
        <f t="shared" si="0"/>
        <v>0.734516579045359</v>
      </c>
      <c r="E9" s="43">
        <f>VLOOKUP(A9,[1]ticket_pivot!$A$6:$V$127,4,FALSE)</f>
        <v>721101.33</v>
      </c>
      <c r="F9" s="44">
        <f t="shared" si="1"/>
        <v>0.920002363346602</v>
      </c>
      <c r="G9" s="43">
        <f>VLOOKUP(A9,[1]Sheet12!$A$5:$G$125,2,FALSE)</f>
        <v>8365959.18</v>
      </c>
      <c r="H9" s="43">
        <f>VLOOKUP(A9,[1]NPL!$A$5:$H$119,2,FALSE)</f>
        <v>0</v>
      </c>
      <c r="I9" s="44">
        <f t="shared" si="2"/>
        <v>0</v>
      </c>
      <c r="J9" s="43">
        <f>VLOOKUP(A9,[1]PAR!$A$5:$H$120,2,FALSE)</f>
        <v>201019.61</v>
      </c>
      <c r="K9" s="44">
        <f t="shared" si="3"/>
        <v>0.0240282800423609</v>
      </c>
      <c r="L9" s="43">
        <f>VLOOKUP(A9,[1]ticket_pivot!$A$6:$V$127,5,FALSE)</f>
        <v>13619336.66</v>
      </c>
      <c r="M9" s="43">
        <f>VLOOKUP(A9,[1]ticket_pivot!$A$6:$V$127,6,FALSE)</f>
        <v>10319822.98</v>
      </c>
      <c r="N9" s="44">
        <f t="shared" si="4"/>
        <v>0.757733158202141</v>
      </c>
      <c r="O9" s="43">
        <f>VLOOKUP(A9,[1]ticket_pivot!$A$6:$V$127,7,FALSE)</f>
        <v>9709398.75</v>
      </c>
      <c r="P9" s="44">
        <f t="shared" si="5"/>
        <v>0.940849350693029</v>
      </c>
      <c r="Q9" s="43">
        <f>VLOOKUP(A9,[1]Sheet12!$A$5:$G$125,3,FALSE)</f>
        <v>31353956.5</v>
      </c>
      <c r="R9" s="43">
        <f>VLOOKUP(A9,[1]NPL!$A$5:$H$119,3,FALSE)</f>
        <v>1118756.31</v>
      </c>
      <c r="S9" s="44">
        <f t="shared" si="6"/>
        <v>0.0356815035448557</v>
      </c>
      <c r="T9" s="43">
        <f>VLOOKUP(A9,[1]PAR!$A$5:$H$120,3,FALSE)</f>
        <v>4364631.25</v>
      </c>
    </row>
    <row r="10" spans="1:20">
      <c r="A10" s="40" t="s">
        <v>21</v>
      </c>
      <c r="B10" s="43">
        <f>VLOOKUP(A10,[1]ticket_pivot!$A$6:$V$127,2,FALSE)</f>
        <v>766126.49</v>
      </c>
      <c r="C10" s="43">
        <f>VLOOKUP(A10,[1]ticket_pivot!$A$6:$V$127,3,FALSE)</f>
        <v>592843.68</v>
      </c>
      <c r="D10" s="44">
        <f t="shared" si="0"/>
        <v>0.773819581672473</v>
      </c>
      <c r="E10" s="43">
        <f>VLOOKUP(A10,[1]ticket_pivot!$A$6:$V$127,4,FALSE)</f>
        <v>590279.1</v>
      </c>
      <c r="F10" s="44">
        <f t="shared" si="1"/>
        <v>0.99567410417532</v>
      </c>
      <c r="G10" s="43">
        <f>VLOOKUP(A10,[1]Sheet12!$A$5:$G$125,2,FALSE)</f>
        <v>8176734.14</v>
      </c>
      <c r="H10" s="43">
        <f>VLOOKUP(A10,[1]NPL!$A$5:$H$119,2,FALSE)</f>
        <v>0</v>
      </c>
      <c r="I10" s="44">
        <f t="shared" si="2"/>
        <v>0</v>
      </c>
      <c r="J10" s="43">
        <f>VLOOKUP(A10,[1]PAR!$A$5:$H$120,2,FALSE)</f>
        <v>0</v>
      </c>
      <c r="K10" s="44">
        <f t="shared" si="3"/>
        <v>0</v>
      </c>
      <c r="L10" s="43">
        <f>VLOOKUP(A10,[1]ticket_pivot!$A$6:$V$127,5,FALSE)</f>
        <v>19155967.75</v>
      </c>
      <c r="M10" s="43">
        <f>VLOOKUP(A10,[1]ticket_pivot!$A$6:$V$127,6,FALSE)</f>
        <v>12028051.79</v>
      </c>
      <c r="N10" s="44">
        <f t="shared" si="4"/>
        <v>0.627901025256216</v>
      </c>
      <c r="O10" s="43">
        <f>VLOOKUP(A10,[1]ticket_pivot!$A$6:$V$127,7,FALSE)</f>
        <v>11366594.34</v>
      </c>
      <c r="P10" s="44">
        <f t="shared" si="5"/>
        <v>0.945007099940331</v>
      </c>
      <c r="Q10" s="43">
        <f>VLOOKUP(A10,[1]Sheet12!$A$5:$G$125,3,FALSE)</f>
        <v>72626976.92</v>
      </c>
      <c r="R10" s="43">
        <f>VLOOKUP(A10,[1]NPL!$A$5:$H$119,3,FALSE)</f>
        <v>1114230.61</v>
      </c>
      <c r="S10" s="44">
        <f t="shared" si="6"/>
        <v>0.0153418283020006</v>
      </c>
      <c r="T10" s="43">
        <f>VLOOKUP(A10,[1]PAR!$A$5:$H$120,3,FALSE)</f>
        <v>2636959.48</v>
      </c>
    </row>
    <row r="11" spans="1:20">
      <c r="A11" s="40" t="s">
        <v>22</v>
      </c>
      <c r="B11" s="43">
        <f>VLOOKUP(A11,[1]ticket_pivot!$A$6:$V$127,2,FALSE)</f>
        <v>638601.53</v>
      </c>
      <c r="C11" s="43">
        <f>VLOOKUP(A11,[1]ticket_pivot!$A$6:$V$127,3,FALSE)</f>
        <v>520107.68</v>
      </c>
      <c r="D11" s="44">
        <f t="shared" si="0"/>
        <v>0.814447907758693</v>
      </c>
      <c r="E11" s="43">
        <f>VLOOKUP(A11,[1]ticket_pivot!$A$6:$V$127,4,FALSE)</f>
        <v>519550.69</v>
      </c>
      <c r="F11" s="44">
        <f t="shared" si="1"/>
        <v>0.998929087145954</v>
      </c>
      <c r="G11" s="43">
        <f>VLOOKUP(A11,[1]Sheet12!$A$5:$G$125,2,FALSE)</f>
        <v>7469529.5</v>
      </c>
      <c r="H11" s="43">
        <f>VLOOKUP(A11,[1]NPL!$A$5:$H$119,2,FALSE)</f>
        <v>0</v>
      </c>
      <c r="I11" s="44">
        <f t="shared" si="2"/>
        <v>0</v>
      </c>
      <c r="J11" s="43">
        <f>VLOOKUP(A11,[1]PAR!$A$5:$H$120,2,FALSE)</f>
        <v>30199.34</v>
      </c>
      <c r="K11" s="44">
        <f t="shared" si="3"/>
        <v>0.00404300431506429</v>
      </c>
      <c r="L11" s="43">
        <f>VLOOKUP(A11,[1]ticket_pivot!$A$6:$V$127,5,FALSE)</f>
        <v>12690171.88</v>
      </c>
      <c r="M11" s="43">
        <f>VLOOKUP(A11,[1]ticket_pivot!$A$6:$V$127,6,FALSE)</f>
        <v>10326355.45</v>
      </c>
      <c r="N11" s="44">
        <f t="shared" si="4"/>
        <v>0.813728572603068</v>
      </c>
      <c r="O11" s="43">
        <f>VLOOKUP(A11,[1]ticket_pivot!$A$6:$V$127,7,FALSE)</f>
        <v>10216881.96</v>
      </c>
      <c r="P11" s="44">
        <f t="shared" si="5"/>
        <v>0.989398632409075</v>
      </c>
      <c r="Q11" s="43">
        <f>VLOOKUP(A11,[1]Sheet12!$A$5:$G$125,3,FALSE)</f>
        <v>48859067.12</v>
      </c>
      <c r="R11" s="43">
        <f>VLOOKUP(A11,[1]NPL!$A$5:$H$119,3,FALSE)</f>
        <v>946343.28</v>
      </c>
      <c r="S11" s="44">
        <f t="shared" si="6"/>
        <v>0.0193688364469944</v>
      </c>
      <c r="T11" s="43">
        <f>VLOOKUP(A11,[1]PAR!$A$5:$H$120,3,FALSE)</f>
        <v>2426438.61</v>
      </c>
    </row>
    <row r="12" spans="1:20">
      <c r="A12" s="45" t="s">
        <v>23</v>
      </c>
      <c r="B12" s="46">
        <f>SUM(B9:B11)</f>
        <v>2471829.57</v>
      </c>
      <c r="C12" s="46">
        <f t="shared" ref="C12:T12" si="9">SUM(C9:C11)</f>
        <v>1896755.14</v>
      </c>
      <c r="D12" s="47">
        <f t="shared" si="0"/>
        <v>0.767348672829414</v>
      </c>
      <c r="E12" s="46">
        <f t="shared" si="9"/>
        <v>1830931.12</v>
      </c>
      <c r="F12" s="47">
        <f t="shared" si="1"/>
        <v>0.965296511599278</v>
      </c>
      <c r="G12" s="46">
        <f t="shared" si="9"/>
        <v>24012222.82</v>
      </c>
      <c r="H12" s="46">
        <f t="shared" si="9"/>
        <v>0</v>
      </c>
      <c r="I12" s="47">
        <f t="shared" si="2"/>
        <v>0</v>
      </c>
      <c r="J12" s="46">
        <f t="shared" si="9"/>
        <v>231218.95</v>
      </c>
      <c r="K12" s="47">
        <f t="shared" si="3"/>
        <v>0.00962921890793948</v>
      </c>
      <c r="L12" s="46">
        <f t="shared" si="9"/>
        <v>45465476.29</v>
      </c>
      <c r="M12" s="46">
        <f t="shared" si="9"/>
        <v>32674230.22</v>
      </c>
      <c r="N12" s="47">
        <f t="shared" si="4"/>
        <v>0.718660242589092</v>
      </c>
      <c r="O12" s="46">
        <f t="shared" si="9"/>
        <v>31292875.05</v>
      </c>
      <c r="P12" s="47">
        <f t="shared" si="5"/>
        <v>0.957723405855344</v>
      </c>
      <c r="Q12" s="46">
        <f t="shared" si="9"/>
        <v>152840000.54</v>
      </c>
      <c r="R12" s="46">
        <f t="shared" si="9"/>
        <v>3179330.2</v>
      </c>
      <c r="S12" s="47">
        <f t="shared" si="6"/>
        <v>0.0208016892748435</v>
      </c>
      <c r="T12" s="46">
        <f t="shared" si="9"/>
        <v>9428029.34</v>
      </c>
    </row>
    <row r="13" spans="1:20">
      <c r="A13" s="48" t="s">
        <v>24</v>
      </c>
      <c r="B13" s="49">
        <f>SUM(B12,B8,B5)</f>
        <v>6226280.83</v>
      </c>
      <c r="C13" s="49">
        <f t="shared" ref="C13:T13" si="10">SUM(C12,C8,C5)</f>
        <v>3828201.25</v>
      </c>
      <c r="D13" s="50">
        <f t="shared" si="0"/>
        <v>0.614845580294842</v>
      </c>
      <c r="E13" s="49">
        <f t="shared" si="10"/>
        <v>3495646.4</v>
      </c>
      <c r="F13" s="50">
        <f t="shared" si="1"/>
        <v>0.913130259282999</v>
      </c>
      <c r="G13" s="49">
        <f t="shared" si="10"/>
        <v>47401712.05</v>
      </c>
      <c r="H13" s="49">
        <f t="shared" si="10"/>
        <v>1143457.05</v>
      </c>
      <c r="I13" s="50">
        <f t="shared" si="2"/>
        <v>0.0241226951632858</v>
      </c>
      <c r="J13" s="49">
        <f t="shared" si="10"/>
        <v>2838174.85</v>
      </c>
      <c r="K13" s="50">
        <f t="shared" si="3"/>
        <v>0.0598749439051115</v>
      </c>
      <c r="L13" s="49">
        <f t="shared" si="10"/>
        <v>92051760.63</v>
      </c>
      <c r="M13" s="49">
        <f t="shared" si="10"/>
        <v>58864431.36</v>
      </c>
      <c r="N13" s="50">
        <f t="shared" si="4"/>
        <v>0.639470999328348</v>
      </c>
      <c r="O13" s="49">
        <f t="shared" si="10"/>
        <v>56413690.26</v>
      </c>
      <c r="P13" s="50">
        <f t="shared" si="5"/>
        <v>0.958366350555365</v>
      </c>
      <c r="Q13" s="49">
        <f t="shared" si="10"/>
        <v>513291646.77</v>
      </c>
      <c r="R13" s="49">
        <f t="shared" si="10"/>
        <v>16569746.7</v>
      </c>
      <c r="S13" s="50">
        <f t="shared" si="6"/>
        <v>0.032281348828232</v>
      </c>
      <c r="T13" s="49">
        <f t="shared" si="10"/>
        <v>30156934.39</v>
      </c>
    </row>
    <row r="14" spans="1:20">
      <c r="A14" s="40" t="s">
        <v>25</v>
      </c>
      <c r="B14" s="43">
        <f>VLOOKUP(A14,[1]ticket_pivot!$A$6:$V$127,2,FALSE)</f>
        <v>2542011.18</v>
      </c>
      <c r="C14" s="43">
        <f>VLOOKUP(A14,[1]ticket_pivot!$A$6:$V$127,3,FALSE)</f>
        <v>1288476.06</v>
      </c>
      <c r="D14" s="44">
        <f t="shared" si="0"/>
        <v>0.506872695972958</v>
      </c>
      <c r="E14" s="43">
        <f>VLOOKUP(A14,[1]ticket_pivot!$A$6:$V$127,4,FALSE)</f>
        <v>1161555.88</v>
      </c>
      <c r="F14" s="44">
        <f t="shared" si="1"/>
        <v>0.901495895857002</v>
      </c>
      <c r="G14" s="43">
        <f>VLOOKUP(A14,[1]Sheet12!$A$5:$G$125,2,FALSE)</f>
        <v>13472169.6</v>
      </c>
      <c r="H14" s="43">
        <f>VLOOKUP(A14,[1]NPL!$A$5:$H$119,2,FALSE)</f>
        <v>1135557.88</v>
      </c>
      <c r="I14" s="44">
        <f t="shared" si="2"/>
        <v>0.084289161561624</v>
      </c>
      <c r="J14" s="43">
        <f>VLOOKUP(A14,[1]PAR!$A$5:$H$120,2,FALSE)</f>
        <v>1586649.13</v>
      </c>
      <c r="K14" s="44">
        <f t="shared" si="3"/>
        <v>0.117772354201954</v>
      </c>
      <c r="L14" s="43">
        <f>VLOOKUP(A14,[1]ticket_pivot!$A$6:$V$127,5,FALSE)</f>
        <v>15761562.38</v>
      </c>
      <c r="M14" s="43">
        <f>VLOOKUP(A14,[1]ticket_pivot!$A$6:$V$127,6,FALSE)</f>
        <v>10438344.2</v>
      </c>
      <c r="N14" s="44">
        <f t="shared" si="4"/>
        <v>0.662265830527393</v>
      </c>
      <c r="O14" s="43">
        <f>VLOOKUP(A14,[1]ticket_pivot!$A$6:$V$127,7,FALSE)</f>
        <v>10011959.21</v>
      </c>
      <c r="P14" s="44">
        <f t="shared" si="5"/>
        <v>0.959152047314171</v>
      </c>
      <c r="Q14" s="43">
        <f>VLOOKUP(A14,[1]Sheet12!$A$5:$G$125,3,FALSE)</f>
        <v>38471282.01</v>
      </c>
      <c r="R14" s="43">
        <f>VLOOKUP(A14,[1]NPL!$A$5:$H$119,3,FALSE)</f>
        <v>3148246.88</v>
      </c>
      <c r="S14" s="44">
        <f t="shared" si="6"/>
        <v>0.0818336877669339</v>
      </c>
      <c r="T14" s="43">
        <f>VLOOKUP(A14,[1]PAR!$A$5:$H$120,3,FALSE)</f>
        <v>8994070.72</v>
      </c>
    </row>
    <row r="15" spans="1:20">
      <c r="A15" s="40" t="s">
        <v>26</v>
      </c>
      <c r="B15" s="43">
        <f>VLOOKUP(A15,[1]ticket_pivot!$A$6:$V$127,2,FALSE)</f>
        <v>2293350.36</v>
      </c>
      <c r="C15" s="43">
        <f>VLOOKUP(A15,[1]ticket_pivot!$A$6:$V$127,3,FALSE)</f>
        <v>1202210.6</v>
      </c>
      <c r="D15" s="44">
        <f t="shared" si="0"/>
        <v>0.52421584637421</v>
      </c>
      <c r="E15" s="43">
        <f>VLOOKUP(A15,[1]ticket_pivot!$A$6:$V$127,4,FALSE)</f>
        <v>1121714.77</v>
      </c>
      <c r="F15" s="44">
        <f t="shared" si="1"/>
        <v>0.933043486723541</v>
      </c>
      <c r="G15" s="43">
        <f>VLOOKUP(A15,[1]Sheet12!$A$5:$G$125,2,FALSE)</f>
        <v>18977755.07</v>
      </c>
      <c r="H15" s="43">
        <f>VLOOKUP(A15,[1]NPL!$A$5:$H$119,2,FALSE)</f>
        <v>636331.24</v>
      </c>
      <c r="I15" s="44">
        <f t="shared" si="2"/>
        <v>0.0335303747810462</v>
      </c>
      <c r="J15" s="43">
        <f>VLOOKUP(A15,[1]PAR!$A$5:$H$120,2,FALSE)</f>
        <v>1195826.4</v>
      </c>
      <c r="K15" s="44">
        <f t="shared" si="3"/>
        <v>0.0630120051391305</v>
      </c>
      <c r="L15" s="43">
        <f>VLOOKUP(A15,[1]ticket_pivot!$A$6:$V$127,5,FALSE)</f>
        <v>8795100.58</v>
      </c>
      <c r="M15" s="43">
        <f>VLOOKUP(A15,[1]ticket_pivot!$A$6:$V$127,6,FALSE)</f>
        <v>6161552.37</v>
      </c>
      <c r="N15" s="44">
        <f t="shared" si="4"/>
        <v>0.70056644764374</v>
      </c>
      <c r="O15" s="43">
        <f>VLOOKUP(A15,[1]ticket_pivot!$A$6:$V$127,7,FALSE)</f>
        <v>6155555.55</v>
      </c>
      <c r="P15" s="44">
        <f t="shared" si="5"/>
        <v>0.999026735530286</v>
      </c>
      <c r="Q15" s="43">
        <f>VLOOKUP(A15,[1]Sheet12!$A$5:$G$125,3,FALSE)</f>
        <v>88356580.52</v>
      </c>
      <c r="R15" s="43">
        <f>VLOOKUP(A15,[1]NPL!$A$5:$H$119,3,FALSE)</f>
        <v>3028870.89</v>
      </c>
      <c r="S15" s="44">
        <f t="shared" si="6"/>
        <v>0.0342800827303904</v>
      </c>
      <c r="T15" s="43">
        <f>VLOOKUP(A15,[1]PAR!$A$5:$H$120,3,FALSE)</f>
        <v>4633720.28</v>
      </c>
    </row>
    <row r="16" spans="1:20">
      <c r="A16" s="40" t="s">
        <v>27</v>
      </c>
      <c r="B16" s="43">
        <f>VLOOKUP(A16,[1]ticket_pivot!$A$6:$V$127,2,FALSE)</f>
        <v>2196212.1</v>
      </c>
      <c r="C16" s="43">
        <f>VLOOKUP(A16,[1]ticket_pivot!$A$6:$V$127,3,FALSE)</f>
        <v>1275320.37</v>
      </c>
      <c r="D16" s="44">
        <f t="shared" si="0"/>
        <v>0.580690895018746</v>
      </c>
      <c r="E16" s="43">
        <f>VLOOKUP(A16,[1]ticket_pivot!$A$6:$V$127,4,FALSE)</f>
        <v>1273195.73</v>
      </c>
      <c r="F16" s="44">
        <f t="shared" si="1"/>
        <v>0.998334034294457</v>
      </c>
      <c r="G16" s="43">
        <f>VLOOKUP(A16,[1]Sheet12!$A$5:$G$125,2,FALSE)</f>
        <v>9551557.31</v>
      </c>
      <c r="H16" s="43">
        <f>VLOOKUP(A16,[1]NPL!$A$5:$H$119,2,FALSE)</f>
        <v>526220.73</v>
      </c>
      <c r="I16" s="44">
        <f t="shared" si="2"/>
        <v>0.0550926632088647</v>
      </c>
      <c r="J16" s="43">
        <f>VLOOKUP(A16,[1]PAR!$A$5:$H$120,2,FALSE)</f>
        <v>526220.73</v>
      </c>
      <c r="K16" s="44">
        <f t="shared" si="3"/>
        <v>0.0550926632088647</v>
      </c>
      <c r="L16" s="43">
        <f>VLOOKUP(A16,[1]ticket_pivot!$A$6:$V$127,5,FALSE)</f>
        <v>25915934.11</v>
      </c>
      <c r="M16" s="43">
        <f>VLOOKUP(A16,[1]ticket_pivot!$A$6:$V$127,6,FALSE)</f>
        <v>14714556.99</v>
      </c>
      <c r="N16" s="44">
        <f t="shared" si="4"/>
        <v>0.567780305643013</v>
      </c>
      <c r="O16" s="43">
        <f>VLOOKUP(A16,[1]ticket_pivot!$A$6:$V$127,7,FALSE)</f>
        <v>14520384.58</v>
      </c>
      <c r="P16" s="44">
        <f t="shared" si="5"/>
        <v>0.986804060079284</v>
      </c>
      <c r="Q16" s="43">
        <f>VLOOKUP(A16,[1]Sheet12!$A$5:$G$125,3,FALSE)</f>
        <v>65420654.05</v>
      </c>
      <c r="R16" s="43">
        <f>VLOOKUP(A16,[1]NPL!$A$5:$H$119,3,FALSE)</f>
        <v>2913275.89</v>
      </c>
      <c r="S16" s="44">
        <f t="shared" si="6"/>
        <v>0.0445314393795792</v>
      </c>
      <c r="T16" s="43">
        <f>VLOOKUP(A16,[1]PAR!$A$5:$H$120,3,FALSE)</f>
        <v>4436771.81</v>
      </c>
    </row>
    <row r="17" spans="1:20">
      <c r="A17" s="40" t="s">
        <v>28</v>
      </c>
      <c r="B17" s="43">
        <f>VLOOKUP(A17,[1]ticket_pivot!$A$6:$V$127,2,FALSE)</f>
        <v>5714995.48</v>
      </c>
      <c r="C17" s="43">
        <f>VLOOKUP(A17,[1]ticket_pivot!$A$6:$V$127,3,FALSE)</f>
        <v>2434523.02</v>
      </c>
      <c r="D17" s="44">
        <f t="shared" si="0"/>
        <v>0.425988616879886</v>
      </c>
      <c r="E17" s="43">
        <f>VLOOKUP(A17,[1]ticket_pivot!$A$6:$V$127,4,FALSE)</f>
        <v>2433239.56</v>
      </c>
      <c r="F17" s="44">
        <f t="shared" si="1"/>
        <v>0.999472808435387</v>
      </c>
      <c r="G17" s="43">
        <f>VLOOKUP(A17,[1]Sheet12!$A$5:$G$125,2,FALSE)</f>
        <v>18300342.61</v>
      </c>
      <c r="H17" s="43">
        <f>VLOOKUP(A17,[1]NPL!$A$5:$H$119,2,FALSE)</f>
        <v>768978.71</v>
      </c>
      <c r="I17" s="44">
        <f t="shared" si="2"/>
        <v>0.0420199078447745</v>
      </c>
      <c r="J17" s="43">
        <f>VLOOKUP(A17,[1]PAR!$A$5:$H$120,2,FALSE)</f>
        <v>1273791.35</v>
      </c>
      <c r="K17" s="44">
        <f t="shared" si="3"/>
        <v>0.0696047815686222</v>
      </c>
      <c r="L17" s="43">
        <f>VLOOKUP(A17,[1]ticket_pivot!$A$6:$V$127,5,FALSE)</f>
        <v>26102368.72</v>
      </c>
      <c r="M17" s="43">
        <f>VLOOKUP(A17,[1]ticket_pivot!$A$6:$V$127,6,FALSE)</f>
        <v>12061370.22</v>
      </c>
      <c r="N17" s="44">
        <f t="shared" si="4"/>
        <v>0.462079528083534</v>
      </c>
      <c r="O17" s="43">
        <f>VLOOKUP(A17,[1]ticket_pivot!$A$6:$V$127,7,FALSE)</f>
        <v>11241457.56</v>
      </c>
      <c r="P17" s="44">
        <f t="shared" si="5"/>
        <v>0.932021599118114</v>
      </c>
      <c r="Q17" s="43">
        <f>VLOOKUP(A17,[1]Sheet12!$A$5:$G$125,3,FALSE)</f>
        <v>64729583.32</v>
      </c>
      <c r="R17" s="43">
        <f>VLOOKUP(A17,[1]NPL!$A$5:$H$119,3,FALSE)</f>
        <v>5170746.96</v>
      </c>
      <c r="S17" s="44">
        <f t="shared" si="6"/>
        <v>0.0798822840313627</v>
      </c>
      <c r="T17" s="43">
        <f>VLOOKUP(A17,[1]PAR!$A$5:$H$120,3,FALSE)</f>
        <v>9327354.51</v>
      </c>
    </row>
    <row r="18" spans="1:20">
      <c r="A18" s="45" t="s">
        <v>29</v>
      </c>
      <c r="B18" s="46">
        <f>SUM(B14:B17)</f>
        <v>12746569.12</v>
      </c>
      <c r="C18" s="46">
        <f t="shared" ref="C18:T18" si="11">SUM(C14:C17)</f>
        <v>6200530.05</v>
      </c>
      <c r="D18" s="47">
        <f t="shared" si="0"/>
        <v>0.486446979703037</v>
      </c>
      <c r="E18" s="46">
        <f>SUM(E14:E17)</f>
        <v>5989705.94</v>
      </c>
      <c r="F18" s="47">
        <f t="shared" si="1"/>
        <v>0.965999018100073</v>
      </c>
      <c r="G18" s="46">
        <f>SUM(G14:G17)</f>
        <v>60301824.59</v>
      </c>
      <c r="H18" s="46">
        <f t="shared" si="11"/>
        <v>3067088.56</v>
      </c>
      <c r="I18" s="47">
        <f t="shared" si="2"/>
        <v>0.050862284530419</v>
      </c>
      <c r="J18" s="46">
        <f t="shared" si="11"/>
        <v>4582487.61</v>
      </c>
      <c r="K18" s="47">
        <f t="shared" si="3"/>
        <v>0.0759925199802317</v>
      </c>
      <c r="L18" s="46">
        <f t="shared" si="11"/>
        <v>76574965.79</v>
      </c>
      <c r="M18" s="46">
        <f t="shared" si="11"/>
        <v>43375823.78</v>
      </c>
      <c r="N18" s="47">
        <f t="shared" si="4"/>
        <v>0.566449143430953</v>
      </c>
      <c r="O18" s="46">
        <f t="shared" si="11"/>
        <v>41929356.9</v>
      </c>
      <c r="P18" s="47">
        <f t="shared" si="5"/>
        <v>0.966652693737036</v>
      </c>
      <c r="Q18" s="46">
        <f t="shared" si="11"/>
        <v>256978099.9</v>
      </c>
      <c r="R18" s="46">
        <f t="shared" si="11"/>
        <v>14261140.62</v>
      </c>
      <c r="S18" s="47">
        <f t="shared" si="6"/>
        <v>0.0554955485527738</v>
      </c>
      <c r="T18" s="46">
        <f t="shared" si="11"/>
        <v>27391917.32</v>
      </c>
    </row>
    <row r="19" spans="1:20">
      <c r="A19" s="40" t="s">
        <v>30</v>
      </c>
      <c r="B19" s="43">
        <f>VLOOKUP(A19,[1]ticket_pivot!$A$6:$V$127,2,FALSE)</f>
        <v>7732322.37</v>
      </c>
      <c r="C19" s="43">
        <f>VLOOKUP(A19,[1]ticket_pivot!$A$6:$V$127,3,FALSE)</f>
        <v>5667100.92</v>
      </c>
      <c r="D19" s="44">
        <f t="shared" si="0"/>
        <v>0.732910586085665</v>
      </c>
      <c r="E19" s="43">
        <f>VLOOKUP(A19,[1]ticket_pivot!$A$6:$V$127,4,FALSE)</f>
        <v>5635112.33</v>
      </c>
      <c r="F19" s="44">
        <f t="shared" si="1"/>
        <v>0.994355387269158</v>
      </c>
      <c r="G19" s="43">
        <f>VLOOKUP(A19,[1]Sheet12!$A$5:$G$125,2,FALSE)</f>
        <v>72490064.66</v>
      </c>
      <c r="H19" s="43">
        <f>VLOOKUP(A19,[1]NPL!$A$5:$H$119,2,FALSE)</f>
        <v>1869566.52</v>
      </c>
      <c r="I19" s="44">
        <f t="shared" si="2"/>
        <v>0.0257906587443234</v>
      </c>
      <c r="J19" s="43">
        <f>VLOOKUP(A19,[1]PAR!$A$5:$H$120,2,FALSE)</f>
        <v>4049577.91</v>
      </c>
      <c r="K19" s="44">
        <f t="shared" si="3"/>
        <v>0.0558639025774598</v>
      </c>
      <c r="L19" s="43">
        <f>VLOOKUP(A19,[1]ticket_pivot!$A$6:$V$127,5,FALSE)</f>
        <v>30788827.4899999</v>
      </c>
      <c r="M19" s="43">
        <f>VLOOKUP(A19,[1]ticket_pivot!$A$6:$V$127,6,FALSE)</f>
        <v>23888425.82</v>
      </c>
      <c r="N19" s="44">
        <f t="shared" si="4"/>
        <v>0.775879686479092</v>
      </c>
      <c r="O19" s="43">
        <f>VLOOKUP(A19,[1]ticket_pivot!$A$6:$V$127,7,FALSE)</f>
        <v>23569530.11</v>
      </c>
      <c r="P19" s="44">
        <f t="shared" si="5"/>
        <v>0.986650618487677</v>
      </c>
      <c r="Q19" s="43">
        <f>VLOOKUP(A19,[1]Sheet12!$A$5:$G$125,3,FALSE)</f>
        <v>34296136.1</v>
      </c>
      <c r="R19" s="43">
        <f>VLOOKUP(A19,[1]NPL!$A$5:$H$119,3,FALSE)</f>
        <v>3361076.48</v>
      </c>
      <c r="S19" s="44">
        <f t="shared" si="6"/>
        <v>0.0980016078254366</v>
      </c>
      <c r="T19" s="43">
        <f>VLOOKUP(A19,[1]PAR!$A$5:$H$120,3,FALSE)</f>
        <v>7718620.12</v>
      </c>
    </row>
    <row r="20" spans="1:20">
      <c r="A20" s="40" t="s">
        <v>31</v>
      </c>
      <c r="B20" s="43">
        <f>VLOOKUP(A20,[1]ticket_pivot!$A$6:$V$127,2,FALSE)</f>
        <v>5849679.13</v>
      </c>
      <c r="C20" s="43">
        <f>VLOOKUP(A20,[1]ticket_pivot!$A$6:$V$127,3,FALSE)</f>
        <v>4784062.57</v>
      </c>
      <c r="D20" s="44">
        <f t="shared" si="0"/>
        <v>0.817833331312995</v>
      </c>
      <c r="E20" s="43">
        <f>VLOOKUP(A20,[1]ticket_pivot!$A$6:$V$127,4,FALSE)</f>
        <v>4694201.05</v>
      </c>
      <c r="F20" s="44">
        <f t="shared" si="1"/>
        <v>0.981216483128063</v>
      </c>
      <c r="G20" s="43">
        <f>VLOOKUP(A20,[1]Sheet12!$A$5:$G$125,2,FALSE)</f>
        <v>56806626.98</v>
      </c>
      <c r="H20" s="43">
        <f>VLOOKUP(A20,[1]NPL!$A$5:$H$119,2,FALSE)</f>
        <v>756146.93</v>
      </c>
      <c r="I20" s="44">
        <f t="shared" si="2"/>
        <v>0.013310892939766</v>
      </c>
      <c r="J20" s="43">
        <f>VLOOKUP(A20,[1]PAR!$A$5:$H$120,2,FALSE)</f>
        <v>828861.38</v>
      </c>
      <c r="K20" s="44">
        <f t="shared" si="3"/>
        <v>0.014590927574204</v>
      </c>
      <c r="L20" s="43">
        <f>VLOOKUP(A20,[1]ticket_pivot!$A$6:$V$127,5,FALSE)</f>
        <v>19527989.65</v>
      </c>
      <c r="M20" s="43">
        <f>VLOOKUP(A20,[1]ticket_pivot!$A$6:$V$127,6,FALSE)</f>
        <v>13637811.21</v>
      </c>
      <c r="N20" s="44">
        <f t="shared" si="4"/>
        <v>0.698372513219762</v>
      </c>
      <c r="O20" s="43">
        <f>VLOOKUP(A20,[1]ticket_pivot!$A$6:$V$127,7,FALSE)</f>
        <v>13329039.49</v>
      </c>
      <c r="P20" s="44">
        <f t="shared" si="5"/>
        <v>0.977359143982461</v>
      </c>
      <c r="Q20" s="43">
        <f>VLOOKUP(A20,[1]Sheet12!$A$5:$G$125,3,FALSE)</f>
        <v>19014445.16</v>
      </c>
      <c r="R20" s="43">
        <f>VLOOKUP(A20,[1]NPL!$A$5:$H$119,3,FALSE)</f>
        <v>4615496.31</v>
      </c>
      <c r="S20" s="44">
        <f t="shared" si="6"/>
        <v>0.242736312901175</v>
      </c>
      <c r="T20" s="43">
        <f>VLOOKUP(A20,[1]PAR!$A$5:$H$120,3,FALSE)</f>
        <v>9213041.15</v>
      </c>
    </row>
    <row r="21" spans="1:20">
      <c r="A21" s="40" t="s">
        <v>32</v>
      </c>
      <c r="B21" s="43">
        <f>VLOOKUP(A21,[1]ticket_pivot!$A$6:$V$127,2,FALSE)</f>
        <v>3635790.34</v>
      </c>
      <c r="C21" s="43">
        <f>VLOOKUP(A21,[1]ticket_pivot!$A$6:$V$127,3,FALSE)</f>
        <v>1377967.62</v>
      </c>
      <c r="D21" s="44">
        <f t="shared" si="0"/>
        <v>0.379000847447106</v>
      </c>
      <c r="E21" s="43">
        <f>VLOOKUP(A21,[1]ticket_pivot!$A$6:$V$127,4,FALSE)</f>
        <v>1279148.12</v>
      </c>
      <c r="F21" s="44">
        <f t="shared" si="1"/>
        <v>0.928286050727375</v>
      </c>
      <c r="G21" s="43">
        <f>VLOOKUP(A21,[1]Sheet12!$A$5:$G$125,2,FALSE)</f>
        <v>15653024.66</v>
      </c>
      <c r="H21" s="43">
        <f>VLOOKUP(A21,[1]NPL!$A$5:$H$119,2,FALSE)</f>
        <v>1811063.09</v>
      </c>
      <c r="I21" s="44">
        <f t="shared" si="2"/>
        <v>0.115700519825285</v>
      </c>
      <c r="J21" s="43">
        <f>VLOOKUP(A21,[1]PAR!$A$5:$H$120,2,FALSE)</f>
        <v>3015474.72</v>
      </c>
      <c r="K21" s="44">
        <f t="shared" si="3"/>
        <v>0.192644858453829</v>
      </c>
      <c r="L21" s="43">
        <f>VLOOKUP(A21,[1]ticket_pivot!$A$6:$V$127,5,FALSE)</f>
        <v>15105642.42</v>
      </c>
      <c r="M21" s="43">
        <f>VLOOKUP(A21,[1]ticket_pivot!$A$6:$V$127,6,FALSE)</f>
        <v>10227309.67</v>
      </c>
      <c r="N21" s="44">
        <f t="shared" si="4"/>
        <v>0.67705228189825</v>
      </c>
      <c r="O21" s="43">
        <f>VLOOKUP(A21,[1]ticket_pivot!$A$6:$V$127,7,FALSE)</f>
        <v>10121262.47</v>
      </c>
      <c r="P21" s="44">
        <f t="shared" si="5"/>
        <v>0.989630977899196</v>
      </c>
      <c r="Q21" s="43">
        <f>VLOOKUP(A21,[1]Sheet12!$A$5:$G$125,3,FALSE)</f>
        <v>32118514.13</v>
      </c>
      <c r="R21" s="43">
        <f>VLOOKUP(A21,[1]NPL!$A$5:$H$119,3,FALSE)</f>
        <v>4029395.22</v>
      </c>
      <c r="S21" s="44">
        <f t="shared" si="6"/>
        <v>0.125453973483673</v>
      </c>
      <c r="T21" s="43">
        <f>VLOOKUP(A21,[1]PAR!$A$5:$H$120,3,FALSE)</f>
        <v>6395363.65</v>
      </c>
    </row>
    <row r="22" spans="1:20">
      <c r="A22" s="40" t="s">
        <v>33</v>
      </c>
      <c r="B22" s="43">
        <f>VLOOKUP(A22,[1]ticket_pivot!$A$6:$V$127,2,FALSE)</f>
        <v>4507551.44</v>
      </c>
      <c r="C22" s="43">
        <f>VLOOKUP(A22,[1]ticket_pivot!$A$6:$V$127,3,FALSE)</f>
        <v>3324767.13</v>
      </c>
      <c r="D22" s="44">
        <f t="shared" si="0"/>
        <v>0.737599376126032</v>
      </c>
      <c r="E22" s="43">
        <f>VLOOKUP(A22,[1]ticket_pivot!$A$6:$V$127,4,FALSE)</f>
        <v>3242454.19</v>
      </c>
      <c r="F22" s="44">
        <f t="shared" si="1"/>
        <v>0.975242494652551</v>
      </c>
      <c r="G22" s="43">
        <f>VLOOKUP(A22,[1]Sheet12!$A$5:$G$125,2,FALSE)</f>
        <v>39125275.9</v>
      </c>
      <c r="H22" s="43">
        <f>VLOOKUP(A22,[1]NPL!$A$5:$H$119,2,FALSE)</f>
        <v>1186661.27</v>
      </c>
      <c r="I22" s="44">
        <f t="shared" si="2"/>
        <v>0.0303297866328912</v>
      </c>
      <c r="J22" s="43">
        <f>VLOOKUP(A22,[1]PAR!$A$5:$H$120,2,FALSE)</f>
        <v>1725827.46</v>
      </c>
      <c r="K22" s="44">
        <f t="shared" si="3"/>
        <v>0.0441102949513003</v>
      </c>
      <c r="L22" s="43">
        <f>VLOOKUP(A22,[1]ticket_pivot!$A$6:$V$127,5,FALSE)</f>
        <v>11698357.26</v>
      </c>
      <c r="M22" s="43">
        <f>VLOOKUP(A22,[1]ticket_pivot!$A$6:$V$127,6,FALSE)</f>
        <v>8198647.59</v>
      </c>
      <c r="N22" s="44">
        <f t="shared" si="4"/>
        <v>0.700837511437055</v>
      </c>
      <c r="O22" s="43">
        <f>VLOOKUP(A22,[1]ticket_pivot!$A$6:$V$127,7,FALSE)</f>
        <v>7968990.99</v>
      </c>
      <c r="P22" s="44">
        <f t="shared" si="5"/>
        <v>0.971988477675256</v>
      </c>
      <c r="Q22" s="43">
        <f>VLOOKUP(A22,[1]Sheet12!$A$5:$G$125,3,FALSE)</f>
        <v>39118684.45</v>
      </c>
      <c r="R22" s="43">
        <f>VLOOKUP(A22,[1]NPL!$A$5:$H$119,3,FALSE)</f>
        <v>4236126.09</v>
      </c>
      <c r="S22" s="44">
        <f t="shared" si="6"/>
        <v>0.108289073356095</v>
      </c>
      <c r="T22" s="43">
        <f>VLOOKUP(A22,[1]PAR!$A$5:$H$120,3,FALSE)</f>
        <v>5105396.92</v>
      </c>
    </row>
    <row r="23" spans="1:20">
      <c r="A23" s="40" t="s">
        <v>34</v>
      </c>
      <c r="B23" s="43">
        <f>VLOOKUP(A23,[1]ticket_pivot!$A$6:$V$127,2,FALSE)</f>
        <v>2015343.45</v>
      </c>
      <c r="C23" s="43">
        <f>VLOOKUP(A23,[1]ticket_pivot!$A$6:$V$127,3,FALSE)</f>
        <v>1127227.08</v>
      </c>
      <c r="D23" s="44">
        <f t="shared" si="0"/>
        <v>0.559322571048622</v>
      </c>
      <c r="E23" s="43">
        <f>VLOOKUP(A23,[1]ticket_pivot!$A$6:$V$127,4,FALSE)</f>
        <v>1126377.51</v>
      </c>
      <c r="F23" s="44">
        <f t="shared" si="1"/>
        <v>0.999246318674317</v>
      </c>
      <c r="G23" s="43">
        <f>VLOOKUP(A23,[1]Sheet12!$A$5:$G$125,2,FALSE)</f>
        <v>12867777.48</v>
      </c>
      <c r="H23" s="43">
        <f>VLOOKUP(A23,[1]NPL!$A$5:$H$119,2,FALSE)</f>
        <v>763029.81</v>
      </c>
      <c r="I23" s="44">
        <f t="shared" si="2"/>
        <v>0.0592977156456081</v>
      </c>
      <c r="J23" s="43">
        <f>VLOOKUP(A23,[1]PAR!$A$5:$H$120,2,FALSE)</f>
        <v>763029.81</v>
      </c>
      <c r="K23" s="44">
        <f t="shared" si="3"/>
        <v>0.0592977156456081</v>
      </c>
      <c r="L23" s="43">
        <f>VLOOKUP(A23,[1]ticket_pivot!$A$6:$V$127,5,FALSE)</f>
        <v>22062314.32</v>
      </c>
      <c r="M23" s="43">
        <f>VLOOKUP(A23,[1]ticket_pivot!$A$6:$V$127,6,FALSE)</f>
        <v>20031963.34</v>
      </c>
      <c r="N23" s="44">
        <f t="shared" si="4"/>
        <v>0.907971985597202</v>
      </c>
      <c r="O23" s="43">
        <f>VLOOKUP(A23,[1]ticket_pivot!$A$6:$V$127,7,FALSE)</f>
        <v>19824151.62</v>
      </c>
      <c r="P23" s="44">
        <f t="shared" si="5"/>
        <v>0.989625993395014</v>
      </c>
      <c r="Q23" s="43">
        <f>VLOOKUP(A23,[1]Sheet12!$A$5:$G$125,3,FALSE)</f>
        <v>51628608.56</v>
      </c>
      <c r="R23" s="43">
        <f>VLOOKUP(A23,[1]NPL!$A$5:$H$119,3,FALSE)</f>
        <v>1226485.09</v>
      </c>
      <c r="S23" s="44">
        <f t="shared" si="6"/>
        <v>0.0237559199096881</v>
      </c>
      <c r="T23" s="43">
        <f>VLOOKUP(A23,[1]PAR!$A$5:$H$120,3,FALSE)</f>
        <v>4188617.09</v>
      </c>
    </row>
    <row r="24" spans="1:20">
      <c r="A24" s="45" t="s">
        <v>35</v>
      </c>
      <c r="B24" s="46">
        <f>SUM(B19:B23)</f>
        <v>23740686.73</v>
      </c>
      <c r="C24" s="46">
        <f t="shared" ref="C24:T24" si="12">SUM(C19:C23)</f>
        <v>16281125.32</v>
      </c>
      <c r="D24" s="47">
        <f t="shared" si="0"/>
        <v>0.685789990203876</v>
      </c>
      <c r="E24" s="46">
        <f t="shared" si="12"/>
        <v>15977293.2</v>
      </c>
      <c r="F24" s="47">
        <f t="shared" si="1"/>
        <v>0.981338383310227</v>
      </c>
      <c r="G24" s="46">
        <f>SUM(G19:G23)</f>
        <v>196942769.68</v>
      </c>
      <c r="H24" s="46">
        <f t="shared" ref="H24" si="13">SUM(H20:H23)</f>
        <v>4516901.1</v>
      </c>
      <c r="I24" s="47">
        <f t="shared" si="2"/>
        <v>0.0229350948366332</v>
      </c>
      <c r="J24" s="46">
        <f t="shared" ref="J24" si="14">SUM(J20:J23)</f>
        <v>6333193.37</v>
      </c>
      <c r="K24" s="47">
        <f t="shared" si="3"/>
        <v>0.0321575317554963</v>
      </c>
      <c r="L24" s="46">
        <f t="shared" si="12"/>
        <v>99183131.1399999</v>
      </c>
      <c r="M24" s="46">
        <f t="shared" si="12"/>
        <v>75984157.63</v>
      </c>
      <c r="N24" s="47">
        <f t="shared" si="4"/>
        <v>0.766099605413204</v>
      </c>
      <c r="O24" s="46">
        <f t="shared" si="12"/>
        <v>74812974.68</v>
      </c>
      <c r="P24" s="47">
        <f t="shared" si="5"/>
        <v>0.984586485044646</v>
      </c>
      <c r="Q24" s="46">
        <f t="shared" si="12"/>
        <v>176176388.4</v>
      </c>
      <c r="R24" s="46">
        <f t="shared" si="12"/>
        <v>17468579.19</v>
      </c>
      <c r="S24" s="47">
        <f t="shared" si="6"/>
        <v>0.0991539181194839</v>
      </c>
      <c r="T24" s="46">
        <f t="shared" si="12"/>
        <v>32621038.93</v>
      </c>
    </row>
    <row r="25" spans="1:20">
      <c r="A25" s="40" t="s">
        <v>36</v>
      </c>
      <c r="B25" s="43">
        <f>VLOOKUP(A25,[1]ticket_pivot!$A$6:$V$127,2,FALSE)</f>
        <v>2788558.28</v>
      </c>
      <c r="C25" s="43">
        <f>VLOOKUP(A25,[1]ticket_pivot!$A$6:$V$127,3,FALSE)</f>
        <v>2486188.39</v>
      </c>
      <c r="D25" s="44">
        <f t="shared" si="0"/>
        <v>0.89156766341638</v>
      </c>
      <c r="E25" s="43">
        <f>VLOOKUP(A25,[1]ticket_pivot!$A$6:$V$127,4,FALSE)</f>
        <v>2470212.18</v>
      </c>
      <c r="F25" s="44">
        <f t="shared" si="1"/>
        <v>0.993574014718973</v>
      </c>
      <c r="G25" s="43">
        <f>VLOOKUP(A25,[1]Sheet12!$A$5:$G$125,2,FALSE)</f>
        <v>26448500.09</v>
      </c>
      <c r="H25" s="43">
        <f>VLOOKUP(A25,[1]NPL!$A$5:$H$119,2,FALSE)</f>
        <v>65661.64</v>
      </c>
      <c r="I25" s="44">
        <f t="shared" si="2"/>
        <v>0.00248262244651167</v>
      </c>
      <c r="J25" s="43">
        <f>VLOOKUP(A25,[1]PAR!$A$5:$H$120,2,FALSE)</f>
        <v>201710.11</v>
      </c>
      <c r="K25" s="44">
        <f t="shared" si="3"/>
        <v>0.00762652359542556</v>
      </c>
      <c r="L25" s="43">
        <f>VLOOKUP(A25,[1]ticket_pivot!$A$6:$V$127,5,FALSE)</f>
        <v>15324269.73</v>
      </c>
      <c r="M25" s="43">
        <f>VLOOKUP(A25,[1]ticket_pivot!$A$6:$V$127,6,FALSE)</f>
        <v>13959256.79</v>
      </c>
      <c r="N25" s="44">
        <f t="shared" si="4"/>
        <v>0.91092476417798</v>
      </c>
      <c r="O25" s="43">
        <f>VLOOKUP(A25,[1]ticket_pivot!$A$6:$V$127,7,FALSE)</f>
        <v>13871747.72</v>
      </c>
      <c r="P25" s="44">
        <f t="shared" si="5"/>
        <v>0.99373110823044</v>
      </c>
      <c r="Q25" s="43">
        <f>VLOOKUP(A25,[1]Sheet12!$A$5:$G$125,3,FALSE)</f>
        <v>0</v>
      </c>
      <c r="R25" s="43">
        <f>VLOOKUP(A25,[1]NPL!$A$5:$H$119,3,FALSE)</f>
        <v>1527593.41</v>
      </c>
      <c r="S25" s="44" t="str">
        <f t="shared" si="6"/>
        <v/>
      </c>
      <c r="T25" s="43">
        <f>VLOOKUP(A25,[1]PAR!$A$5:$H$120,3,FALSE)</f>
        <v>1527593.41</v>
      </c>
    </row>
    <row r="26" spans="1:20">
      <c r="A26" s="40" t="s">
        <v>37</v>
      </c>
      <c r="B26" s="43">
        <f>VLOOKUP(A26,[1]ticket_pivot!$A$6:$V$127,2,FALSE)</f>
        <v>5965096.22</v>
      </c>
      <c r="C26" s="43">
        <f>VLOOKUP(A26,[1]ticket_pivot!$A$6:$V$127,3,FALSE)</f>
        <v>5397022.12</v>
      </c>
      <c r="D26" s="44">
        <f t="shared" si="0"/>
        <v>0.904766984630467</v>
      </c>
      <c r="E26" s="43">
        <f>VLOOKUP(A26,[1]ticket_pivot!$A$6:$V$127,4,FALSE)</f>
        <v>5365105.53</v>
      </c>
      <c r="F26" s="44">
        <f t="shared" si="1"/>
        <v>0.994086259183239</v>
      </c>
      <c r="G26" s="43">
        <f>VLOOKUP(A26,[1]Sheet12!$A$5:$G$125,2,FALSE)</f>
        <v>70716323.14</v>
      </c>
      <c r="H26" s="43">
        <f>VLOOKUP(A26,[1]NPL!$A$5:$H$119,2,FALSE)</f>
        <v>116000.81</v>
      </c>
      <c r="I26" s="44">
        <f t="shared" si="2"/>
        <v>0.00164036823252742</v>
      </c>
      <c r="J26" s="43">
        <f>VLOOKUP(A26,[1]PAR!$A$5:$H$120,2,FALSE)</f>
        <v>116000.81</v>
      </c>
      <c r="K26" s="44">
        <f t="shared" si="3"/>
        <v>0.00164036823252742</v>
      </c>
      <c r="L26" s="43">
        <f>VLOOKUP(A26,[1]ticket_pivot!$A$6:$V$127,5,FALSE)</f>
        <v>22874770.39</v>
      </c>
      <c r="M26" s="43">
        <f>VLOOKUP(A26,[1]ticket_pivot!$A$6:$V$127,6,FALSE)</f>
        <v>19499309.3</v>
      </c>
      <c r="N26" s="44">
        <f t="shared" si="4"/>
        <v>0.852437378279626</v>
      </c>
      <c r="O26" s="43">
        <f>VLOOKUP(A26,[1]ticket_pivot!$A$6:$V$127,7,FALSE)</f>
        <v>19427194.43</v>
      </c>
      <c r="P26" s="44">
        <f t="shared" si="5"/>
        <v>0.996301670541736</v>
      </c>
      <c r="Q26" s="43">
        <f>VLOOKUP(A26,[1]Sheet12!$A$5:$G$125,3,FALSE)</f>
        <v>2114463.21</v>
      </c>
      <c r="R26" s="43">
        <f>VLOOKUP(A26,[1]NPL!$A$5:$H$119,3,FALSE)</f>
        <v>2705697.53</v>
      </c>
      <c r="S26" s="44">
        <f t="shared" si="6"/>
        <v>1.2796143802379</v>
      </c>
      <c r="T26" s="43">
        <f>VLOOKUP(A26,[1]PAR!$A$5:$H$120,3,FALSE)</f>
        <v>4900536.73</v>
      </c>
    </row>
    <row r="27" spans="1:20">
      <c r="A27" s="40" t="s">
        <v>38</v>
      </c>
      <c r="B27" s="43">
        <f>VLOOKUP(A27,[1]ticket_pivot!$A$6:$V$127,2,FALSE)</f>
        <v>4111299.45</v>
      </c>
      <c r="C27" s="43">
        <f>VLOOKUP(A27,[1]ticket_pivot!$A$6:$V$127,3,FALSE)</f>
        <v>3747857.52</v>
      </c>
      <c r="D27" s="44">
        <f t="shared" si="0"/>
        <v>0.911599256045433</v>
      </c>
      <c r="E27" s="43">
        <f>VLOOKUP(A27,[1]ticket_pivot!$A$6:$V$127,4,FALSE)</f>
        <v>3717659.17</v>
      </c>
      <c r="F27" s="44">
        <f t="shared" si="1"/>
        <v>0.991942503193131</v>
      </c>
      <c r="G27" s="43">
        <f>VLOOKUP(A27,[1]Sheet12!$A$5:$G$125,2,FALSE)</f>
        <v>44291445.16</v>
      </c>
      <c r="H27" s="43">
        <f>VLOOKUP(A27,[1]NPL!$A$5:$H$119,2,FALSE)</f>
        <v>0</v>
      </c>
      <c r="I27" s="44">
        <f t="shared" si="2"/>
        <v>0</v>
      </c>
      <c r="J27" s="43">
        <f>VLOOKUP(A27,[1]PAR!$A$5:$H$120,2,FALSE)</f>
        <v>538860.01</v>
      </c>
      <c r="K27" s="44">
        <f t="shared" si="3"/>
        <v>0.0121662322837605</v>
      </c>
      <c r="L27" s="43">
        <f>VLOOKUP(A27,[1]ticket_pivot!$A$6:$V$127,5,FALSE)</f>
        <v>18453356.8</v>
      </c>
      <c r="M27" s="43">
        <f>VLOOKUP(A27,[1]ticket_pivot!$A$6:$V$127,6,FALSE)</f>
        <v>15271270.4</v>
      </c>
      <c r="N27" s="44">
        <f t="shared" si="4"/>
        <v>0.827560566107951</v>
      </c>
      <c r="O27" s="43">
        <f>VLOOKUP(A27,[1]ticket_pivot!$A$6:$V$127,7,FALSE)</f>
        <v>15161795.63</v>
      </c>
      <c r="P27" s="44">
        <f t="shared" si="5"/>
        <v>0.992831325283849</v>
      </c>
      <c r="Q27" s="43">
        <f>VLOOKUP(A27,[1]Sheet12!$A$5:$G$125,3,FALSE)</f>
        <v>0</v>
      </c>
      <c r="R27" s="43">
        <f>VLOOKUP(A27,[1]NPL!$A$5:$H$119,3,FALSE)</f>
        <v>988943.03</v>
      </c>
      <c r="S27" s="44" t="str">
        <f t="shared" si="6"/>
        <v/>
      </c>
      <c r="T27" s="43">
        <f>VLOOKUP(A27,[1]PAR!$A$5:$H$120,3,FALSE)</f>
        <v>4723039.09</v>
      </c>
    </row>
    <row r="28" spans="1:20">
      <c r="A28" s="45" t="s">
        <v>39</v>
      </c>
      <c r="B28" s="46">
        <f>SUM(B25:B27)</f>
        <v>12864953.95</v>
      </c>
      <c r="C28" s="46">
        <f t="shared" ref="C28:T28" si="15">SUM(C25:C27)</f>
        <v>11631068.03</v>
      </c>
      <c r="D28" s="47">
        <f t="shared" si="0"/>
        <v>0.904089363646731</v>
      </c>
      <c r="E28" s="46">
        <f t="shared" si="15"/>
        <v>11552976.88</v>
      </c>
      <c r="F28" s="47">
        <f t="shared" si="1"/>
        <v>0.993285986308516</v>
      </c>
      <c r="G28" s="46">
        <f>SUM(G25:G27)</f>
        <v>141456268.39</v>
      </c>
      <c r="H28" s="46">
        <f>SUM(H25:H27)</f>
        <v>181662.45</v>
      </c>
      <c r="I28" s="47">
        <f t="shared" si="2"/>
        <v>0.00128423046972475</v>
      </c>
      <c r="J28" s="46"/>
      <c r="K28" s="47">
        <f t="shared" si="3"/>
        <v>0</v>
      </c>
      <c r="L28" s="46">
        <f t="shared" si="15"/>
        <v>56652396.92</v>
      </c>
      <c r="M28" s="46">
        <f t="shared" si="15"/>
        <v>48729836.49</v>
      </c>
      <c r="N28" s="47">
        <f t="shared" si="4"/>
        <v>0.860154894395949</v>
      </c>
      <c r="O28" s="46">
        <f t="shared" si="15"/>
        <v>48460737.78</v>
      </c>
      <c r="P28" s="47">
        <f t="shared" si="5"/>
        <v>0.994477742398023</v>
      </c>
      <c r="Q28" s="46">
        <f t="shared" si="15"/>
        <v>2114463.21</v>
      </c>
      <c r="R28" s="46">
        <f t="shared" si="15"/>
        <v>5222233.97</v>
      </c>
      <c r="S28" s="47">
        <f t="shared" si="6"/>
        <v>2.46976818764324</v>
      </c>
      <c r="T28" s="46">
        <f t="shared" si="15"/>
        <v>11151169.23</v>
      </c>
    </row>
    <row r="29" spans="1:20">
      <c r="A29" s="48" t="s">
        <v>40</v>
      </c>
      <c r="B29" s="49">
        <f>SUM(B28,B24,B18)</f>
        <v>49352209.8</v>
      </c>
      <c r="C29" s="49">
        <f t="shared" ref="C29:T29" si="16">SUM(C28,C24,C18)</f>
        <v>34112723.4</v>
      </c>
      <c r="D29" s="50">
        <f t="shared" si="0"/>
        <v>0.691209644679375</v>
      </c>
      <c r="E29" s="49">
        <f t="shared" si="16"/>
        <v>33519976.02</v>
      </c>
      <c r="F29" s="50">
        <f t="shared" si="1"/>
        <v>0.982623862274215</v>
      </c>
      <c r="G29" s="49">
        <f t="shared" si="16"/>
        <v>398700862.66</v>
      </c>
      <c r="H29" s="49">
        <f t="shared" si="16"/>
        <v>7765652.11</v>
      </c>
      <c r="I29" s="50">
        <f t="shared" si="2"/>
        <v>0.0194773897858915</v>
      </c>
      <c r="J29" s="49">
        <f t="shared" si="16"/>
        <v>10915680.98</v>
      </c>
      <c r="K29" s="50">
        <f t="shared" si="3"/>
        <v>0.0273781223024555</v>
      </c>
      <c r="L29" s="49">
        <f t="shared" si="16"/>
        <v>232410493.85</v>
      </c>
      <c r="M29" s="49">
        <f t="shared" si="16"/>
        <v>168089817.9</v>
      </c>
      <c r="N29" s="50">
        <f t="shared" si="4"/>
        <v>0.72324538843107</v>
      </c>
      <c r="O29" s="49">
        <f t="shared" si="16"/>
        <v>165203069.36</v>
      </c>
      <c r="P29" s="50">
        <f t="shared" si="5"/>
        <v>0.982826154635272</v>
      </c>
      <c r="Q29" s="49">
        <f t="shared" si="16"/>
        <v>435268951.51</v>
      </c>
      <c r="R29" s="49">
        <f t="shared" si="16"/>
        <v>36951953.78</v>
      </c>
      <c r="S29" s="50">
        <f t="shared" si="6"/>
        <v>0.0848945316494762</v>
      </c>
      <c r="T29" s="49">
        <f t="shared" si="16"/>
        <v>71164125.48</v>
      </c>
    </row>
    <row r="30" spans="1:20">
      <c r="A30" s="40" t="s">
        <v>41</v>
      </c>
      <c r="B30" s="43">
        <f>VLOOKUP(A30,[1]ticket_pivot!$A$6:$V$127,2,FALSE)</f>
        <v>2084538.4</v>
      </c>
      <c r="C30" s="43">
        <f>VLOOKUP(A30,[1]ticket_pivot!$A$6:$V$127,3,FALSE)</f>
        <v>1583504.69</v>
      </c>
      <c r="D30" s="44">
        <f t="shared" si="0"/>
        <v>0.759642849467297</v>
      </c>
      <c r="E30" s="43">
        <f>VLOOKUP(A30,[1]ticket_pivot!$A$6:$V$127,4,FALSE)</f>
        <v>1554191.98</v>
      </c>
      <c r="F30" s="44">
        <f t="shared" si="1"/>
        <v>0.981488712862606</v>
      </c>
      <c r="G30" s="43">
        <f>VLOOKUP(A30,[1]Sheet12!$A$5:$G$125,2,FALSE)</f>
        <v>15659834.95</v>
      </c>
      <c r="H30" s="43">
        <f>VLOOKUP(A30,[1]NPL!$A$5:$H$119,2,FALSE)</f>
        <v>522923.41</v>
      </c>
      <c r="I30" s="44">
        <f t="shared" si="2"/>
        <v>0.0333926514340434</v>
      </c>
      <c r="J30" s="43">
        <f>VLOOKUP(A30,[1]PAR!$A$5:$H$120,2,FALSE)</f>
        <v>851846.09</v>
      </c>
      <c r="K30" s="44">
        <f t="shared" si="3"/>
        <v>0.0543968753642579</v>
      </c>
      <c r="L30" s="43">
        <f>VLOOKUP(A30,[1]ticket_pivot!$A$6:$V$127,5,FALSE)</f>
        <v>20235750.32</v>
      </c>
      <c r="M30" s="43">
        <f>VLOOKUP(A30,[1]ticket_pivot!$A$6:$V$127,6,FALSE)</f>
        <v>16703964.27</v>
      </c>
      <c r="N30" s="44">
        <f t="shared" si="4"/>
        <v>0.825467996286288</v>
      </c>
      <c r="O30" s="43">
        <f>VLOOKUP(A30,[1]ticket_pivot!$A$6:$V$127,7,FALSE)</f>
        <v>15666674.15</v>
      </c>
      <c r="P30" s="44">
        <f t="shared" si="5"/>
        <v>0.937901560178565</v>
      </c>
      <c r="Q30" s="43">
        <f>VLOOKUP(A30,[1]Sheet12!$A$5:$G$125,3,FALSE)</f>
        <v>4056120.47</v>
      </c>
      <c r="R30" s="43">
        <f>VLOOKUP(A30,[1]NPL!$A$5:$H$119,3,FALSE)</f>
        <v>3285676.93</v>
      </c>
      <c r="S30" s="44">
        <f t="shared" si="6"/>
        <v>0.810054078595945</v>
      </c>
      <c r="T30" s="43">
        <f>VLOOKUP(A30,[1]PAR!$A$5:$H$120,3,FALSE)</f>
        <v>5823496.41</v>
      </c>
    </row>
    <row r="31" spans="1:20">
      <c r="A31" s="40" t="s">
        <v>42</v>
      </c>
      <c r="B31" s="43">
        <f>VLOOKUP(A31,[1]ticket_pivot!$A$6:$V$127,2,FALSE)</f>
        <v>6849879.76000001</v>
      </c>
      <c r="C31" s="43">
        <f>VLOOKUP(A31,[1]ticket_pivot!$A$6:$V$127,3,FALSE)</f>
        <v>6004954.29</v>
      </c>
      <c r="D31" s="44">
        <f t="shared" si="0"/>
        <v>0.876651050879176</v>
      </c>
      <c r="E31" s="43">
        <f>VLOOKUP(A31,[1]ticket_pivot!$A$6:$V$127,4,FALSE)</f>
        <v>5921214.54</v>
      </c>
      <c r="F31" s="44">
        <f t="shared" si="1"/>
        <v>0.986054889686763</v>
      </c>
      <c r="G31" s="43">
        <f>VLOOKUP(A31,[1]Sheet12!$A$5:$G$125,2,FALSE)</f>
        <v>62748936.67</v>
      </c>
      <c r="H31" s="43">
        <f>VLOOKUP(A31,[1]NPL!$A$5:$H$119,2,FALSE)</f>
        <v>905088.51</v>
      </c>
      <c r="I31" s="44">
        <f t="shared" si="2"/>
        <v>0.0144239656961824</v>
      </c>
      <c r="J31" s="43">
        <f>VLOOKUP(A31,[1]PAR!$A$5:$H$120,2,FALSE)</f>
        <v>1436412.41</v>
      </c>
      <c r="K31" s="44">
        <f t="shared" si="3"/>
        <v>0.0228914223288622</v>
      </c>
      <c r="L31" s="43">
        <f>VLOOKUP(A31,[1]ticket_pivot!$A$6:$V$127,5,FALSE)</f>
        <v>22526406.02</v>
      </c>
      <c r="M31" s="43">
        <f>VLOOKUP(A31,[1]ticket_pivot!$A$6:$V$127,6,FALSE)</f>
        <v>18896915.95</v>
      </c>
      <c r="N31" s="44">
        <f t="shared" si="4"/>
        <v>0.838878422648621</v>
      </c>
      <c r="O31" s="43">
        <f>VLOOKUP(A31,[1]ticket_pivot!$A$6:$V$127,7,FALSE)</f>
        <v>18353946.35</v>
      </c>
      <c r="P31" s="44">
        <f t="shared" si="5"/>
        <v>0.971266761124585</v>
      </c>
      <c r="Q31" s="43">
        <f>VLOOKUP(A31,[1]Sheet12!$A$5:$G$125,3,FALSE)</f>
        <v>0</v>
      </c>
      <c r="R31" s="43">
        <f>VLOOKUP(A31,[1]NPL!$A$5:$H$119,3,FALSE)</f>
        <v>1618079.94</v>
      </c>
      <c r="S31" s="44" t="str">
        <f t="shared" si="6"/>
        <v/>
      </c>
      <c r="T31" s="43">
        <f>VLOOKUP(A31,[1]PAR!$A$5:$H$120,3,FALSE)</f>
        <v>6683162.45</v>
      </c>
    </row>
    <row r="32" spans="1:20">
      <c r="A32" s="40" t="s">
        <v>43</v>
      </c>
      <c r="B32" s="43"/>
      <c r="C32" s="43"/>
      <c r="D32" s="44" t="str">
        <f t="shared" si="0"/>
        <v/>
      </c>
      <c r="E32" s="43"/>
      <c r="F32" s="44" t="str">
        <f t="shared" si="1"/>
        <v/>
      </c>
      <c r="G32" s="43"/>
      <c r="H32" s="43"/>
      <c r="I32" s="44" t="str">
        <f t="shared" si="2"/>
        <v/>
      </c>
      <c r="J32" s="43"/>
      <c r="K32" s="44" t="str">
        <f t="shared" si="3"/>
        <v/>
      </c>
      <c r="L32" s="43"/>
      <c r="M32" s="43"/>
      <c r="N32" s="44" t="str">
        <f t="shared" si="4"/>
        <v/>
      </c>
      <c r="O32" s="43"/>
      <c r="P32" s="44" t="str">
        <f t="shared" si="5"/>
        <v/>
      </c>
      <c r="Q32" s="43"/>
      <c r="R32" s="43"/>
      <c r="S32" s="44" t="str">
        <f t="shared" si="6"/>
        <v/>
      </c>
      <c r="T32" s="43"/>
    </row>
    <row r="33" spans="1:20">
      <c r="A33" s="45" t="s">
        <v>44</v>
      </c>
      <c r="B33" s="46">
        <f>SUM(B30:B32)</f>
        <v>8934418.16000001</v>
      </c>
      <c r="C33" s="46">
        <f t="shared" ref="C33:T33" si="17">SUM(C30:C32)</f>
        <v>7588458.98</v>
      </c>
      <c r="D33" s="47">
        <f t="shared" si="0"/>
        <v>0.849351221769991</v>
      </c>
      <c r="E33" s="46">
        <f t="shared" si="17"/>
        <v>7475406.52</v>
      </c>
      <c r="F33" s="47">
        <f t="shared" si="1"/>
        <v>0.985102052959902</v>
      </c>
      <c r="G33" s="46">
        <f t="shared" si="17"/>
        <v>78408771.62</v>
      </c>
      <c r="H33" s="46">
        <f t="shared" si="17"/>
        <v>1428011.92</v>
      </c>
      <c r="I33" s="47">
        <f t="shared" si="2"/>
        <v>0.0182124000988144</v>
      </c>
      <c r="J33" s="46">
        <f t="shared" si="17"/>
        <v>2288258.5</v>
      </c>
      <c r="K33" s="47">
        <f t="shared" si="3"/>
        <v>0.0291837055054224</v>
      </c>
      <c r="L33" s="46">
        <f t="shared" si="17"/>
        <v>42762156.34</v>
      </c>
      <c r="M33" s="46">
        <f t="shared" si="17"/>
        <v>35600880.22</v>
      </c>
      <c r="N33" s="47">
        <f t="shared" si="4"/>
        <v>0.832532390016513</v>
      </c>
      <c r="O33" s="46">
        <f t="shared" si="17"/>
        <v>34020620.5</v>
      </c>
      <c r="P33" s="47">
        <f t="shared" si="5"/>
        <v>0.955611779533692</v>
      </c>
      <c r="Q33" s="46">
        <f t="shared" si="17"/>
        <v>4056120.47</v>
      </c>
      <c r="R33" s="46">
        <f t="shared" si="17"/>
        <v>4903756.87</v>
      </c>
      <c r="S33" s="47">
        <f t="shared" si="6"/>
        <v>1.20897712636232</v>
      </c>
      <c r="T33" s="46">
        <f t="shared" si="17"/>
        <v>12506658.86</v>
      </c>
    </row>
    <row r="34" spans="1:20">
      <c r="A34" s="40" t="s">
        <v>45</v>
      </c>
      <c r="B34" s="43">
        <f>VLOOKUP(A34,[1]ticket_pivot!$A$6:$V$127,2,FALSE)</f>
        <v>1210920.51</v>
      </c>
      <c r="C34" s="43">
        <f>VLOOKUP(A34,[1]ticket_pivot!$A$6:$V$127,3,FALSE)</f>
        <v>994940.2</v>
      </c>
      <c r="D34" s="44">
        <f t="shared" si="0"/>
        <v>0.82163956410318</v>
      </c>
      <c r="E34" s="43">
        <f>VLOOKUP(A34,[1]ticket_pivot!$A$6:$V$127,4,FALSE)</f>
        <v>992403.63</v>
      </c>
      <c r="F34" s="44">
        <f t="shared" si="1"/>
        <v>0.997450530192669</v>
      </c>
      <c r="G34" s="43">
        <f>VLOOKUP(A34,[1]Sheet12!$A$5:$G$125,2,FALSE)</f>
        <v>12330949.25</v>
      </c>
      <c r="H34" s="43">
        <f>VLOOKUP(A34,[1]NPL!$A$5:$H$119,2,FALSE)</f>
        <v>0</v>
      </c>
      <c r="I34" s="44">
        <f t="shared" si="2"/>
        <v>0</v>
      </c>
      <c r="J34" s="43">
        <f>VLOOKUP(A34,[1]PAR!$A$5:$H$120,2,FALSE)</f>
        <v>316280.17</v>
      </c>
      <c r="K34" s="44">
        <f t="shared" si="3"/>
        <v>0.0256492962210513</v>
      </c>
      <c r="L34" s="43">
        <f>VLOOKUP(A34,[1]ticket_pivot!$A$6:$V$127,5,FALSE)</f>
        <v>12210753.79</v>
      </c>
      <c r="M34" s="43">
        <f>VLOOKUP(A34,[1]ticket_pivot!$A$6:$V$127,6,FALSE)</f>
        <v>10794866.57</v>
      </c>
      <c r="N34" s="44">
        <f t="shared" si="4"/>
        <v>0.884045879202024</v>
      </c>
      <c r="O34" s="43">
        <f>VLOOKUP(A34,[1]ticket_pivot!$A$6:$V$127,7,FALSE)</f>
        <v>10308311.3</v>
      </c>
      <c r="P34" s="44">
        <f t="shared" si="5"/>
        <v>0.954927162198356</v>
      </c>
      <c r="Q34" s="43">
        <f>VLOOKUP(A34,[1]Sheet12!$A$5:$G$125,3,FALSE)</f>
        <v>37407542.07</v>
      </c>
      <c r="R34" s="43">
        <f>VLOOKUP(A34,[1]NPL!$A$5:$H$119,3,FALSE)</f>
        <v>812961.88</v>
      </c>
      <c r="S34" s="44">
        <f t="shared" si="6"/>
        <v>0.0217325660819607</v>
      </c>
      <c r="T34" s="43">
        <f>VLOOKUP(A34,[1]PAR!$A$5:$H$120,3,FALSE)</f>
        <v>1764839.69</v>
      </c>
    </row>
    <row r="35" spans="1:20">
      <c r="A35" s="40" t="s">
        <v>46</v>
      </c>
      <c r="B35" s="43">
        <f>VLOOKUP(A35,[1]ticket_pivot!$A$6:$V$127,2,FALSE)</f>
        <v>3431559.45</v>
      </c>
      <c r="C35" s="43">
        <f>VLOOKUP(A35,[1]ticket_pivot!$A$6:$V$127,3,FALSE)</f>
        <v>2826912.69</v>
      </c>
      <c r="D35" s="44">
        <f t="shared" si="0"/>
        <v>0.823798255921226</v>
      </c>
      <c r="E35" s="43">
        <f>VLOOKUP(A35,[1]ticket_pivot!$A$6:$V$127,4,FALSE)</f>
        <v>2671573.84</v>
      </c>
      <c r="F35" s="44">
        <f t="shared" si="1"/>
        <v>0.945050000819092</v>
      </c>
      <c r="G35" s="43">
        <f>VLOOKUP(A35,[1]Sheet12!$A$5:$G$125,2,FALSE)</f>
        <v>29689576.95</v>
      </c>
      <c r="H35" s="43">
        <f>VLOOKUP(A35,[1]NPL!$A$5:$H$119,2,FALSE)</f>
        <v>399461.52</v>
      </c>
      <c r="I35" s="44">
        <f t="shared" si="2"/>
        <v>0.0134546046470359</v>
      </c>
      <c r="J35" s="43">
        <f>VLOOKUP(A35,[1]PAR!$A$5:$H$120,2,FALSE)</f>
        <v>1454852.74</v>
      </c>
      <c r="K35" s="44">
        <f t="shared" si="3"/>
        <v>0.0490021377687566</v>
      </c>
      <c r="L35" s="43">
        <f>VLOOKUP(A35,[1]ticket_pivot!$A$6:$V$127,5,FALSE)</f>
        <v>18658495.79</v>
      </c>
      <c r="M35" s="43">
        <f>VLOOKUP(A35,[1]ticket_pivot!$A$6:$V$127,6,FALSE)</f>
        <v>15365291.14</v>
      </c>
      <c r="N35" s="44">
        <f t="shared" si="4"/>
        <v>0.823501064230216</v>
      </c>
      <c r="O35" s="43">
        <f>VLOOKUP(A35,[1]ticket_pivot!$A$6:$V$127,7,FALSE)</f>
        <v>14922706.44</v>
      </c>
      <c r="P35" s="44">
        <f t="shared" si="5"/>
        <v>0.971195814256469</v>
      </c>
      <c r="Q35" s="43">
        <f>VLOOKUP(A35,[1]Sheet12!$A$5:$G$125,3,FALSE)</f>
        <v>71929795.81</v>
      </c>
      <c r="R35" s="43">
        <f>VLOOKUP(A35,[1]NPL!$A$5:$H$119,3,FALSE)</f>
        <v>1183562.05</v>
      </c>
      <c r="S35" s="44">
        <f t="shared" si="6"/>
        <v>0.0164544058087741</v>
      </c>
      <c r="T35" s="43">
        <f>VLOOKUP(A35,[1]PAR!$A$5:$H$120,3,FALSE)</f>
        <v>2398699.76</v>
      </c>
    </row>
    <row r="36" spans="1:20">
      <c r="A36" s="45" t="s">
        <v>47</v>
      </c>
      <c r="B36" s="46">
        <f>SUM(B34:B35)</f>
        <v>4642479.96</v>
      </c>
      <c r="C36" s="46">
        <f t="shared" ref="C36:T36" si="18">SUM(C34:C35)</f>
        <v>3821852.89</v>
      </c>
      <c r="D36" s="47">
        <f t="shared" si="0"/>
        <v>0.823235193889776</v>
      </c>
      <c r="E36" s="46">
        <f t="shared" si="18"/>
        <v>3663977.47</v>
      </c>
      <c r="F36" s="47">
        <f t="shared" si="1"/>
        <v>0.958691392750075</v>
      </c>
      <c r="G36" s="46">
        <f t="shared" si="18"/>
        <v>42020526.2</v>
      </c>
      <c r="H36" s="46">
        <f t="shared" si="18"/>
        <v>399461.52</v>
      </c>
      <c r="I36" s="47">
        <f t="shared" si="2"/>
        <v>0.00950634264070686</v>
      </c>
      <c r="J36" s="46">
        <f t="shared" si="18"/>
        <v>1771132.91</v>
      </c>
      <c r="K36" s="47">
        <f t="shared" si="3"/>
        <v>0.042149232057927</v>
      </c>
      <c r="L36" s="46">
        <f t="shared" si="18"/>
        <v>30869249.58</v>
      </c>
      <c r="M36" s="46">
        <f t="shared" si="18"/>
        <v>26160157.71</v>
      </c>
      <c r="N36" s="47">
        <f t="shared" si="4"/>
        <v>0.847450393706655</v>
      </c>
      <c r="O36" s="46">
        <f t="shared" si="18"/>
        <v>25231017.74</v>
      </c>
      <c r="P36" s="47">
        <f t="shared" si="5"/>
        <v>0.964482631171416</v>
      </c>
      <c r="Q36" s="46">
        <f t="shared" si="18"/>
        <v>109337337.88</v>
      </c>
      <c r="R36" s="46">
        <f t="shared" si="18"/>
        <v>1996523.93</v>
      </c>
      <c r="S36" s="47">
        <f t="shared" si="6"/>
        <v>0.0182602207874425</v>
      </c>
      <c r="T36" s="46">
        <f t="shared" si="18"/>
        <v>4163539.45</v>
      </c>
    </row>
    <row r="37" spans="1:20">
      <c r="A37" s="48" t="s">
        <v>48</v>
      </c>
      <c r="B37" s="49">
        <f>SUM(B36,B33)</f>
        <v>13576898.12</v>
      </c>
      <c r="C37" s="49">
        <f t="shared" ref="C37:T37" si="19">SUM(C36,C33)</f>
        <v>11410311.87</v>
      </c>
      <c r="D37" s="50">
        <f t="shared" si="0"/>
        <v>0.840421116012617</v>
      </c>
      <c r="E37" s="49">
        <f t="shared" si="19"/>
        <v>11139383.99</v>
      </c>
      <c r="F37" s="50">
        <f t="shared" si="1"/>
        <v>0.976255874240184</v>
      </c>
      <c r="G37" s="49">
        <f t="shared" si="19"/>
        <v>120429297.82</v>
      </c>
      <c r="H37" s="49">
        <f t="shared" si="19"/>
        <v>1827473.44</v>
      </c>
      <c r="I37" s="50">
        <f t="shared" si="2"/>
        <v>0.0151746582690488</v>
      </c>
      <c r="J37" s="49">
        <f t="shared" si="19"/>
        <v>4059391.41</v>
      </c>
      <c r="K37" s="50">
        <f t="shared" si="3"/>
        <v>0.0337076731616204</v>
      </c>
      <c r="L37" s="49">
        <f t="shared" si="19"/>
        <v>73631405.92</v>
      </c>
      <c r="M37" s="49">
        <f t="shared" si="19"/>
        <v>61761037.93</v>
      </c>
      <c r="N37" s="50">
        <f t="shared" si="4"/>
        <v>0.838786617725362</v>
      </c>
      <c r="O37" s="49">
        <f t="shared" si="19"/>
        <v>59251638.24</v>
      </c>
      <c r="P37" s="50">
        <f t="shared" si="5"/>
        <v>0.959369211170898</v>
      </c>
      <c r="Q37" s="49">
        <f t="shared" si="19"/>
        <v>113393458.35</v>
      </c>
      <c r="R37" s="49">
        <f t="shared" si="19"/>
        <v>6900280.8</v>
      </c>
      <c r="S37" s="50">
        <f t="shared" si="6"/>
        <v>0.0608525474079961</v>
      </c>
      <c r="T37" s="49">
        <f t="shared" si="19"/>
        <v>16670198.31</v>
      </c>
    </row>
    <row r="38" spans="1:20">
      <c r="A38" s="40" t="s">
        <v>49</v>
      </c>
      <c r="B38" s="43">
        <f>VLOOKUP(A38,[1]ticket_pivot!$A$6:$V$127,2,FALSE)</f>
        <v>2114407.63</v>
      </c>
      <c r="C38" s="43">
        <f>VLOOKUP(A38,[1]ticket_pivot!$A$6:$V$127,3,FALSE)</f>
        <v>1276647.3</v>
      </c>
      <c r="D38" s="44">
        <f t="shared" si="0"/>
        <v>0.603784852970853</v>
      </c>
      <c r="E38" s="43">
        <f>VLOOKUP(A38,[1]ticket_pivot!$A$6:$V$127,4,FALSE)</f>
        <v>1211858.32</v>
      </c>
      <c r="F38" s="44">
        <f t="shared" si="1"/>
        <v>0.949250681844547</v>
      </c>
      <c r="G38" s="43">
        <f>VLOOKUP(A38,[1]Sheet12!$A$5:$G$125,2,FALSE)</f>
        <v>16408484.09</v>
      </c>
      <c r="H38" s="43">
        <f>VLOOKUP(A38,[1]NPL!$A$5:$H$119,2,FALSE)</f>
        <v>467044.58</v>
      </c>
      <c r="I38" s="44">
        <f t="shared" si="2"/>
        <v>0.0284636031846864</v>
      </c>
      <c r="J38" s="43">
        <f>VLOOKUP(A38,[1]PAR!$A$5:$H$120,2,FALSE)</f>
        <v>865224.25</v>
      </c>
      <c r="K38" s="44">
        <f t="shared" si="3"/>
        <v>0.0527302976468925</v>
      </c>
      <c r="L38" s="43">
        <f>VLOOKUP(A38,[1]ticket_pivot!$A$6:$V$127,5,FALSE)</f>
        <v>17372292.14</v>
      </c>
      <c r="M38" s="43">
        <f>VLOOKUP(A38,[1]ticket_pivot!$A$6:$V$127,6,FALSE)</f>
        <v>11981630.53</v>
      </c>
      <c r="N38" s="44">
        <f t="shared" si="4"/>
        <v>0.689697734383138</v>
      </c>
      <c r="O38" s="43">
        <f>VLOOKUP(A38,[1]ticket_pivot!$A$6:$V$127,7,FALSE)</f>
        <v>11407629.85</v>
      </c>
      <c r="P38" s="44">
        <f t="shared" si="5"/>
        <v>0.952093274904213</v>
      </c>
      <c r="Q38" s="43">
        <f>VLOOKUP(A38,[1]Sheet12!$A$5:$G$125,3,FALSE)</f>
        <v>98734282.7</v>
      </c>
      <c r="R38" s="43">
        <f>VLOOKUP(A38,[1]NPL!$A$5:$H$119,3,FALSE)</f>
        <v>4901324.15</v>
      </c>
      <c r="S38" s="44">
        <f t="shared" si="6"/>
        <v>0.0496415633553795</v>
      </c>
      <c r="T38" s="43">
        <f>VLOOKUP(A38,[1]PAR!$A$5:$H$120,3,FALSE)</f>
        <v>8358979.76</v>
      </c>
    </row>
    <row r="39" spans="1:20">
      <c r="A39" s="40" t="s">
        <v>50</v>
      </c>
      <c r="B39" s="43">
        <f>VLOOKUP(A39,[1]ticket_pivot!$A$6:$V$127,2,FALSE)</f>
        <v>2835273.15</v>
      </c>
      <c r="C39" s="43">
        <f>VLOOKUP(A39,[1]ticket_pivot!$A$6:$V$127,3,FALSE)</f>
        <v>2098468.17</v>
      </c>
      <c r="D39" s="44">
        <f t="shared" si="0"/>
        <v>0.740129101846854</v>
      </c>
      <c r="E39" s="43">
        <f>VLOOKUP(A39,[1]ticket_pivot!$A$6:$V$127,4,FALSE)</f>
        <v>2088416.65</v>
      </c>
      <c r="F39" s="44">
        <f t="shared" si="1"/>
        <v>0.995210067923022</v>
      </c>
      <c r="G39" s="43">
        <f>VLOOKUP(A39,[1]Sheet12!$A$5:$G$125,2,FALSE)</f>
        <v>29023859.55</v>
      </c>
      <c r="H39" s="43">
        <f>VLOOKUP(A39,[1]NPL!$A$5:$H$119,2,FALSE)</f>
        <v>377944.37</v>
      </c>
      <c r="I39" s="44">
        <f t="shared" si="2"/>
        <v>0.0130218508447819</v>
      </c>
      <c r="J39" s="43">
        <f>VLOOKUP(A39,[1]PAR!$A$5:$H$120,2,FALSE)</f>
        <v>1724646.13</v>
      </c>
      <c r="K39" s="44">
        <f t="shared" si="3"/>
        <v>0.0594216674398151</v>
      </c>
      <c r="L39" s="43">
        <f>VLOOKUP(A39,[1]ticket_pivot!$A$6:$V$127,5,FALSE)</f>
        <v>13016299.68</v>
      </c>
      <c r="M39" s="43">
        <f>VLOOKUP(A39,[1]ticket_pivot!$A$6:$V$127,6,FALSE)</f>
        <v>8912866.41</v>
      </c>
      <c r="N39" s="44">
        <f t="shared" si="4"/>
        <v>0.684746558478131</v>
      </c>
      <c r="O39" s="43">
        <f>VLOOKUP(A39,[1]ticket_pivot!$A$6:$V$127,7,FALSE)</f>
        <v>8595288.88</v>
      </c>
      <c r="P39" s="44">
        <f t="shared" si="5"/>
        <v>0.964368642433181</v>
      </c>
      <c r="Q39" s="43">
        <f>VLOOKUP(A39,[1]Sheet12!$A$5:$G$125,3,FALSE)</f>
        <v>23261857.48</v>
      </c>
      <c r="R39" s="43">
        <f>VLOOKUP(A39,[1]NPL!$A$5:$H$119,3,FALSE)</f>
        <v>2742085.24</v>
      </c>
      <c r="S39" s="44">
        <f t="shared" si="6"/>
        <v>0.117879031902658</v>
      </c>
      <c r="T39" s="43">
        <f>VLOOKUP(A39,[1]PAR!$A$5:$H$120,3,FALSE)</f>
        <v>3785495.43</v>
      </c>
    </row>
    <row r="40" spans="1:20">
      <c r="A40" s="40" t="s">
        <v>51</v>
      </c>
      <c r="B40" s="43">
        <f>VLOOKUP(A40,[1]ticket_pivot!$A$6:$V$127,2,FALSE)</f>
        <v>3346967.79</v>
      </c>
      <c r="C40" s="43">
        <f>VLOOKUP(A40,[1]ticket_pivot!$A$6:$V$127,3,FALSE)</f>
        <v>2331266.01</v>
      </c>
      <c r="D40" s="44">
        <f t="shared" si="0"/>
        <v>0.696530757471078</v>
      </c>
      <c r="E40" s="43">
        <f>VLOOKUP(A40,[1]ticket_pivot!$A$6:$V$127,4,FALSE)</f>
        <v>2328395.63</v>
      </c>
      <c r="F40" s="44">
        <f t="shared" si="1"/>
        <v>0.998768746257318</v>
      </c>
      <c r="G40" s="43">
        <f>VLOOKUP(A40,[1]Sheet12!$A$5:$G$125,2,FALSE)</f>
        <v>27553000.14</v>
      </c>
      <c r="H40" s="43">
        <f>VLOOKUP(A40,[1]NPL!$A$5:$H$119,2,FALSE)</f>
        <v>807593.27</v>
      </c>
      <c r="I40" s="44">
        <f t="shared" si="2"/>
        <v>0.0293105384494075</v>
      </c>
      <c r="J40" s="43">
        <f>VLOOKUP(A40,[1]PAR!$A$5:$H$120,2,FALSE)</f>
        <v>1642718.05</v>
      </c>
      <c r="K40" s="44">
        <f t="shared" si="3"/>
        <v>0.0596202969423713</v>
      </c>
      <c r="L40" s="43">
        <f>VLOOKUP(A40,[1]ticket_pivot!$A$6:$V$127,5,FALSE)</f>
        <v>15369757.66</v>
      </c>
      <c r="M40" s="43">
        <f>VLOOKUP(A40,[1]ticket_pivot!$A$6:$V$127,6,FALSE)</f>
        <v>11404777.86</v>
      </c>
      <c r="N40" s="44">
        <f t="shared" si="4"/>
        <v>0.742027175202709</v>
      </c>
      <c r="O40" s="43">
        <f>VLOOKUP(A40,[1]ticket_pivot!$A$6:$V$127,7,FALSE)</f>
        <v>10909088.57</v>
      </c>
      <c r="P40" s="44">
        <f t="shared" si="5"/>
        <v>0.956536699260182</v>
      </c>
      <c r="Q40" s="43">
        <f>VLOOKUP(A40,[1]Sheet12!$A$5:$G$125,3,FALSE)</f>
        <v>59558317.17</v>
      </c>
      <c r="R40" s="43">
        <f>VLOOKUP(A40,[1]NPL!$A$5:$H$119,3,FALSE)</f>
        <v>2682605.13</v>
      </c>
      <c r="S40" s="44">
        <f t="shared" si="6"/>
        <v>0.0450416542553229</v>
      </c>
      <c r="T40" s="43">
        <f>VLOOKUP(A40,[1]PAR!$A$5:$H$120,3,FALSE)</f>
        <v>4852122.13</v>
      </c>
    </row>
    <row r="41" spans="1:20">
      <c r="A41" s="40" t="s">
        <v>52</v>
      </c>
      <c r="B41" s="43">
        <f>VLOOKUP(A41,[1]ticket_pivot!$A$6:$V$127,2,FALSE)</f>
        <v>4089348.59</v>
      </c>
      <c r="C41" s="43">
        <f>VLOOKUP(A41,[1]ticket_pivot!$A$6:$V$127,3,FALSE)</f>
        <v>2617769.95</v>
      </c>
      <c r="D41" s="44">
        <f t="shared" si="0"/>
        <v>0.640143507550673</v>
      </c>
      <c r="E41" s="43">
        <f>VLOOKUP(A41,[1]ticket_pivot!$A$6:$V$127,4,FALSE)</f>
        <v>2447867.17</v>
      </c>
      <c r="F41" s="44">
        <f t="shared" si="1"/>
        <v>0.935096367043254</v>
      </c>
      <c r="G41" s="43">
        <f>VLOOKUP(A41,[1]Sheet12!$A$5:$G$125,2,FALSE)</f>
        <v>25658646.67</v>
      </c>
      <c r="H41" s="43">
        <f>VLOOKUP(A41,[1]NPL!$A$5:$H$119,2,FALSE)</f>
        <v>1195341.21</v>
      </c>
      <c r="I41" s="44">
        <f t="shared" si="2"/>
        <v>0.0465862921522509</v>
      </c>
      <c r="J41" s="43">
        <f>VLOOKUP(A41,[1]PAR!$A$5:$H$120,2,FALSE)</f>
        <v>1716023.59</v>
      </c>
      <c r="K41" s="44">
        <f t="shared" si="3"/>
        <v>0.0668789594427975</v>
      </c>
      <c r="L41" s="43">
        <f>VLOOKUP(A41,[1]ticket_pivot!$A$6:$V$127,5,FALSE)</f>
        <v>7384398.48</v>
      </c>
      <c r="M41" s="43">
        <f>VLOOKUP(A41,[1]ticket_pivot!$A$6:$V$127,6,FALSE)</f>
        <v>5783680.95</v>
      </c>
      <c r="N41" s="44">
        <f t="shared" si="4"/>
        <v>0.783229800729822</v>
      </c>
      <c r="O41" s="43">
        <f>VLOOKUP(A41,[1]ticket_pivot!$A$6:$V$127,7,FALSE)</f>
        <v>5776883.5</v>
      </c>
      <c r="P41" s="44">
        <f t="shared" si="5"/>
        <v>0.99882471905716</v>
      </c>
      <c r="Q41" s="43">
        <f>VLOOKUP(A41,[1]Sheet12!$A$5:$G$125,3,FALSE)</f>
        <v>2950580.26</v>
      </c>
      <c r="R41" s="43">
        <f>VLOOKUP(A41,[1]NPL!$A$5:$H$119,3,FALSE)</f>
        <v>1520726.14</v>
      </c>
      <c r="S41" s="44">
        <f t="shared" si="6"/>
        <v>0.515399008329297</v>
      </c>
      <c r="T41" s="43">
        <f>VLOOKUP(A41,[1]PAR!$A$5:$H$120,3,FALSE)</f>
        <v>2711954.91</v>
      </c>
    </row>
    <row r="42" spans="1:20">
      <c r="A42" s="40" t="s">
        <v>53</v>
      </c>
      <c r="B42" s="43">
        <f>VLOOKUP(A42,[1]ticket_pivot!$A$6:$V$127,2,FALSE)</f>
        <v>3734825.43</v>
      </c>
      <c r="C42" s="43">
        <f>VLOOKUP(A42,[1]ticket_pivot!$A$6:$V$127,3,FALSE)</f>
        <v>2731445.16</v>
      </c>
      <c r="D42" s="44">
        <f t="shared" si="0"/>
        <v>0.73134480076623</v>
      </c>
      <c r="E42" s="43">
        <f>VLOOKUP(A42,[1]ticket_pivot!$A$6:$V$127,4,FALSE)</f>
        <v>2645507.79</v>
      </c>
      <c r="F42" s="44">
        <f t="shared" si="1"/>
        <v>0.968537764821901</v>
      </c>
      <c r="G42" s="43">
        <f>VLOOKUP(A42,[1]Sheet12!$A$5:$G$125,2,FALSE)</f>
        <v>28935659.19</v>
      </c>
      <c r="H42" s="43">
        <f>VLOOKUP(A42,[1]NPL!$A$5:$H$119,2,FALSE)</f>
        <v>529497.76</v>
      </c>
      <c r="I42" s="44">
        <f t="shared" si="2"/>
        <v>0.0182991428162449</v>
      </c>
      <c r="J42" s="43">
        <f>VLOOKUP(A42,[1]PAR!$A$5:$H$120,2,FALSE)</f>
        <v>1442842.77</v>
      </c>
      <c r="K42" s="44">
        <f t="shared" si="3"/>
        <v>0.0498638292815751</v>
      </c>
      <c r="L42" s="43">
        <f>VLOOKUP(A42,[1]ticket_pivot!$A$6:$V$127,5,FALSE)</f>
        <v>6865886.2</v>
      </c>
      <c r="M42" s="43">
        <f>VLOOKUP(A42,[1]ticket_pivot!$A$6:$V$127,6,FALSE)</f>
        <v>5886368.91</v>
      </c>
      <c r="N42" s="44">
        <f t="shared" si="4"/>
        <v>0.857335635711527</v>
      </c>
      <c r="O42" s="43">
        <f>VLOOKUP(A42,[1]ticket_pivot!$A$6:$V$127,7,FALSE)</f>
        <v>5804546.05</v>
      </c>
      <c r="P42" s="44">
        <f t="shared" si="5"/>
        <v>0.986099603804818</v>
      </c>
      <c r="Q42" s="43">
        <f>VLOOKUP(A42,[1]Sheet12!$A$5:$G$125,3,FALSE)</f>
        <v>26131381.87</v>
      </c>
      <c r="R42" s="43">
        <f>VLOOKUP(A42,[1]NPL!$A$5:$H$119,3,FALSE)</f>
        <v>84369.39</v>
      </c>
      <c r="S42" s="44">
        <f t="shared" si="6"/>
        <v>0.00322866163066791</v>
      </c>
      <c r="T42" s="43">
        <f>VLOOKUP(A42,[1]PAR!$A$5:$H$120,3,FALSE)</f>
        <v>1916340.65</v>
      </c>
    </row>
    <row r="43" spans="1:20">
      <c r="A43" s="45" t="s">
        <v>54</v>
      </c>
      <c r="B43" s="46">
        <f>SUM(B38:B42)</f>
        <v>16120822.59</v>
      </c>
      <c r="C43" s="46">
        <f t="shared" ref="C43:T43" si="20">SUM(C38:C42)</f>
        <v>11055596.59</v>
      </c>
      <c r="D43" s="47">
        <f t="shared" si="0"/>
        <v>0.685796058375952</v>
      </c>
      <c r="E43" s="46">
        <f t="shared" si="20"/>
        <v>10722045.56</v>
      </c>
      <c r="F43" s="47">
        <f t="shared" si="1"/>
        <v>0.969829667057344</v>
      </c>
      <c r="G43" s="46">
        <f>SUM(G38:G42)</f>
        <v>127579649.64</v>
      </c>
      <c r="H43" s="46">
        <f t="shared" si="20"/>
        <v>3377421.19</v>
      </c>
      <c r="I43" s="47">
        <f t="shared" si="2"/>
        <v>0.0264730401716127</v>
      </c>
      <c r="J43" s="46">
        <f t="shared" si="20"/>
        <v>7391454.79</v>
      </c>
      <c r="K43" s="47">
        <f t="shared" si="3"/>
        <v>0.0579360016339358</v>
      </c>
      <c r="L43" s="46">
        <f t="shared" si="20"/>
        <v>60008634.16</v>
      </c>
      <c r="M43" s="46">
        <f t="shared" si="20"/>
        <v>43969324.66</v>
      </c>
      <c r="N43" s="47">
        <f t="shared" si="4"/>
        <v>0.732716637788578</v>
      </c>
      <c r="O43" s="46">
        <f t="shared" si="20"/>
        <v>42493436.85</v>
      </c>
      <c r="P43" s="47">
        <f t="shared" si="5"/>
        <v>0.966433693912459</v>
      </c>
      <c r="Q43" s="46">
        <f t="shared" si="20"/>
        <v>210636419.48</v>
      </c>
      <c r="R43" s="46">
        <f t="shared" si="20"/>
        <v>11931110.05</v>
      </c>
      <c r="S43" s="47">
        <f t="shared" si="6"/>
        <v>0.0566431487938052</v>
      </c>
      <c r="T43" s="46">
        <f t="shared" si="20"/>
        <v>21624892.88</v>
      </c>
    </row>
    <row r="44" spans="1:20">
      <c r="A44" s="40" t="s">
        <v>55</v>
      </c>
      <c r="B44" s="43">
        <f>VLOOKUP(A44,[1]ticket_pivot!$A$6:$V$127,2,FALSE)</f>
        <v>4133402.97</v>
      </c>
      <c r="C44" s="43">
        <f>VLOOKUP(A44,[1]ticket_pivot!$A$6:$V$127,3,FALSE)</f>
        <v>2305029.77</v>
      </c>
      <c r="D44" s="44">
        <f t="shared" si="0"/>
        <v>0.557659097535317</v>
      </c>
      <c r="E44" s="43">
        <f>VLOOKUP(A44,[1]ticket_pivot!$A$6:$V$127,4,FALSE)</f>
        <v>2184615.71</v>
      </c>
      <c r="F44" s="44">
        <f t="shared" si="1"/>
        <v>0.947760301594717</v>
      </c>
      <c r="G44" s="43">
        <f>VLOOKUP(A44,[1]Sheet12!$A$5:$G$125,2,FALSE)</f>
        <v>35068343.98</v>
      </c>
      <c r="H44" s="43">
        <f>VLOOKUP(A44,[1]NPL!$A$5:$H$119,2,FALSE)</f>
        <v>791989.85</v>
      </c>
      <c r="I44" s="44">
        <f t="shared" si="2"/>
        <v>0.0225841816326338</v>
      </c>
      <c r="J44" s="43">
        <f>VLOOKUP(A44,[1]PAR!$A$5:$H$120,2,FALSE)</f>
        <v>2969105.26</v>
      </c>
      <c r="K44" s="44">
        <f t="shared" si="3"/>
        <v>0.0846662523241281</v>
      </c>
      <c r="L44" s="43">
        <f>VLOOKUP(A44,[1]ticket_pivot!$A$6:$V$127,5,FALSE)</f>
        <v>13305553.78</v>
      </c>
      <c r="M44" s="43">
        <f>VLOOKUP(A44,[1]ticket_pivot!$A$6:$V$127,6,FALSE)</f>
        <v>10053389.56</v>
      </c>
      <c r="N44" s="44">
        <f t="shared" si="4"/>
        <v>0.755578439366542</v>
      </c>
      <c r="O44" s="43">
        <f>VLOOKUP(A44,[1]ticket_pivot!$A$6:$V$127,7,FALSE)</f>
        <v>9686377.09</v>
      </c>
      <c r="P44" s="44">
        <f t="shared" si="5"/>
        <v>0.963493658749657</v>
      </c>
      <c r="Q44" s="43">
        <f>VLOOKUP(A44,[1]Sheet12!$A$5:$G$125,3,FALSE)</f>
        <v>4941402</v>
      </c>
      <c r="R44" s="43">
        <f>VLOOKUP(A44,[1]NPL!$A$5:$H$119,3,FALSE)</f>
        <v>1710909.31</v>
      </c>
      <c r="S44" s="44">
        <f t="shared" si="6"/>
        <v>0.346239652228254</v>
      </c>
      <c r="T44" s="43">
        <f>VLOOKUP(A44,[1]PAR!$A$5:$H$120,3,FALSE)</f>
        <v>2854613.41</v>
      </c>
    </row>
    <row r="45" spans="1:20">
      <c r="A45" s="40" t="s">
        <v>56</v>
      </c>
      <c r="B45" s="43">
        <f>VLOOKUP(A45,[1]ticket_pivot!$A$6:$V$127,2,FALSE)</f>
        <v>742201.97</v>
      </c>
      <c r="C45" s="43">
        <f>VLOOKUP(A45,[1]ticket_pivot!$A$6:$V$127,3,FALSE)</f>
        <v>678907.34</v>
      </c>
      <c r="D45" s="44">
        <f t="shared" si="0"/>
        <v>0.914720476961278</v>
      </c>
      <c r="E45" s="43">
        <f>VLOOKUP(A45,[1]ticket_pivot!$A$6:$V$127,4,FALSE)</f>
        <v>674465.84</v>
      </c>
      <c r="F45" s="44">
        <f t="shared" si="1"/>
        <v>0.99345787011229</v>
      </c>
      <c r="G45" s="43">
        <f>VLOOKUP(A45,[1]Sheet12!$A$5:$G$125,2,FALSE)</f>
        <v>8820365.56</v>
      </c>
      <c r="H45" s="43">
        <f>VLOOKUP(A45,[1]NPL!$A$5:$H$119,2,FALSE)</f>
        <v>0</v>
      </c>
      <c r="I45" s="44">
        <f t="shared" si="2"/>
        <v>0</v>
      </c>
      <c r="J45" s="43">
        <f>VLOOKUP(A45,[1]PAR!$A$5:$H$120,2,FALSE)</f>
        <v>0</v>
      </c>
      <c r="K45" s="44">
        <f t="shared" si="3"/>
        <v>0</v>
      </c>
      <c r="L45" s="43">
        <f>VLOOKUP(A45,[1]ticket_pivot!$A$6:$V$127,5,FALSE)</f>
        <v>9738358.97</v>
      </c>
      <c r="M45" s="43">
        <f>VLOOKUP(A45,[1]ticket_pivot!$A$6:$V$127,6,FALSE)</f>
        <v>6007104.35</v>
      </c>
      <c r="N45" s="44">
        <f t="shared" si="4"/>
        <v>0.61684975553946</v>
      </c>
      <c r="O45" s="43">
        <f>VLOOKUP(A45,[1]ticket_pivot!$A$6:$V$127,7,FALSE)</f>
        <v>5746215.5</v>
      </c>
      <c r="P45" s="44">
        <f t="shared" si="5"/>
        <v>0.956569948714142</v>
      </c>
      <c r="Q45" s="43">
        <f>VLOOKUP(A45,[1]Sheet12!$A$5:$G$125,3,FALSE)</f>
        <v>61193966.47</v>
      </c>
      <c r="R45" s="43">
        <f>VLOOKUP(A45,[1]NPL!$A$5:$H$119,3,FALSE)</f>
        <v>4025573.14</v>
      </c>
      <c r="S45" s="44">
        <f t="shared" si="6"/>
        <v>0.065783824324797</v>
      </c>
      <c r="T45" s="43">
        <f>VLOOKUP(A45,[1]PAR!$A$5:$H$120,3,FALSE)</f>
        <v>5958938.65</v>
      </c>
    </row>
    <row r="46" spans="1:20">
      <c r="A46" s="40" t="s">
        <v>57</v>
      </c>
      <c r="B46" s="43">
        <f>VLOOKUP(A46,[1]ticket_pivot!$A$6:$V$127,2,FALSE)</f>
        <v>3203609.58</v>
      </c>
      <c r="C46" s="43">
        <f>VLOOKUP(A46,[1]ticket_pivot!$A$6:$V$127,3,FALSE)</f>
        <v>1128719.2</v>
      </c>
      <c r="D46" s="44">
        <f t="shared" si="0"/>
        <v>0.352327326977215</v>
      </c>
      <c r="E46" s="43">
        <f>VLOOKUP(A46,[1]ticket_pivot!$A$6:$V$127,4,FALSE)</f>
        <v>1111954.36</v>
      </c>
      <c r="F46" s="44">
        <f t="shared" si="1"/>
        <v>0.985147023280901</v>
      </c>
      <c r="G46" s="43">
        <f>VLOOKUP(A46,[1]Sheet12!$A$5:$G$125,2,FALSE)</f>
        <v>12002405.18</v>
      </c>
      <c r="H46" s="43">
        <f>VLOOKUP(A46,[1]NPL!$A$5:$H$119,2,FALSE)</f>
        <v>1926634.88</v>
      </c>
      <c r="I46" s="44">
        <f t="shared" si="2"/>
        <v>0.160520733228571</v>
      </c>
      <c r="J46" s="43">
        <f>VLOOKUP(A46,[1]PAR!$A$5:$H$120,2,FALSE)</f>
        <v>1926634.88</v>
      </c>
      <c r="K46" s="44">
        <f t="shared" si="3"/>
        <v>0.160520733228571</v>
      </c>
      <c r="L46" s="43">
        <f>VLOOKUP(A46,[1]ticket_pivot!$A$6:$V$127,5,FALSE)</f>
        <v>10995835.73</v>
      </c>
      <c r="M46" s="43">
        <f>VLOOKUP(A46,[1]ticket_pivot!$A$6:$V$127,6,FALSE)</f>
        <v>7932573.14</v>
      </c>
      <c r="N46" s="44">
        <f t="shared" si="4"/>
        <v>0.721416119227529</v>
      </c>
      <c r="O46" s="43">
        <f>VLOOKUP(A46,[1]ticket_pivot!$A$6:$V$127,7,FALSE)</f>
        <v>7924306.9</v>
      </c>
      <c r="P46" s="44">
        <f t="shared" si="5"/>
        <v>0.998957937121523</v>
      </c>
      <c r="Q46" s="43">
        <f>VLOOKUP(A46,[1]Sheet12!$A$5:$G$125,3,FALSE)</f>
        <v>152409603.69</v>
      </c>
      <c r="R46" s="43">
        <f>VLOOKUP(A46,[1]NPL!$A$5:$H$119,3,FALSE)</f>
        <v>1018206.48</v>
      </c>
      <c r="S46" s="44">
        <f t="shared" si="6"/>
        <v>0.00668072388713131</v>
      </c>
      <c r="T46" s="43">
        <f>VLOOKUP(A46,[1]PAR!$A$5:$H$120,3,FALSE)</f>
        <v>4251982.07</v>
      </c>
    </row>
    <row r="47" spans="1:20">
      <c r="A47" s="40" t="s">
        <v>58</v>
      </c>
      <c r="B47" s="43">
        <f>VLOOKUP(A47,[1]ticket_pivot!$A$6:$V$127,2,FALSE)</f>
        <v>994176.16</v>
      </c>
      <c r="C47" s="43">
        <f>VLOOKUP(A47,[1]ticket_pivot!$A$6:$V$127,3,FALSE)</f>
        <v>926605.96</v>
      </c>
      <c r="D47" s="44">
        <f t="shared" si="0"/>
        <v>0.932033976755186</v>
      </c>
      <c r="E47" s="43">
        <f>VLOOKUP(A47,[1]ticket_pivot!$A$6:$V$127,4,FALSE)</f>
        <v>924954.76</v>
      </c>
      <c r="F47" s="44">
        <f t="shared" si="1"/>
        <v>0.998218012757009</v>
      </c>
      <c r="G47" s="43">
        <f>VLOOKUP(A47,[1]Sheet12!$A$5:$G$125,2,FALSE)</f>
        <v>10264216.93</v>
      </c>
      <c r="H47" s="43"/>
      <c r="I47" s="44">
        <f t="shared" si="2"/>
        <v>0</v>
      </c>
      <c r="J47" s="43"/>
      <c r="K47" s="44">
        <f t="shared" si="3"/>
        <v>0</v>
      </c>
      <c r="L47" s="43">
        <f>VLOOKUP(A47,[1]ticket_pivot!$A$6:$V$127,5,FALSE)</f>
        <v>4529476.89</v>
      </c>
      <c r="M47" s="43">
        <f>VLOOKUP(A47,[1]ticket_pivot!$A$6:$V$127,6,FALSE)</f>
        <v>4059223.25</v>
      </c>
      <c r="N47" s="44">
        <f t="shared" si="4"/>
        <v>0.896179260559159</v>
      </c>
      <c r="O47" s="43">
        <f>VLOOKUP(A47,[1]ticket_pivot!$A$6:$V$127,7,FALSE)</f>
        <v>4002139.72</v>
      </c>
      <c r="P47" s="44">
        <f t="shared" si="5"/>
        <v>0.985937326802609</v>
      </c>
      <c r="Q47" s="43">
        <f>VLOOKUP(A47,[1]Sheet12!$A$5:$G$125,3,FALSE)</f>
        <v>12218540.63</v>
      </c>
      <c r="R47" s="43"/>
      <c r="S47" s="44">
        <f t="shared" si="6"/>
        <v>0</v>
      </c>
      <c r="T47" s="43"/>
    </row>
    <row r="48" spans="1:20">
      <c r="A48" s="45" t="s">
        <v>59</v>
      </c>
      <c r="B48" s="46">
        <f>SUM(B44:B47)</f>
        <v>9073390.68</v>
      </c>
      <c r="C48" s="46">
        <f t="shared" ref="C48:T48" si="21">SUM(C44:C47)</f>
        <v>5039262.27</v>
      </c>
      <c r="D48" s="47">
        <f t="shared" si="0"/>
        <v>0.555389098488593</v>
      </c>
      <c r="E48" s="46">
        <f t="shared" si="21"/>
        <v>4895990.67</v>
      </c>
      <c r="F48" s="47">
        <f t="shared" si="1"/>
        <v>0.971568933640757</v>
      </c>
      <c r="G48" s="46">
        <f>SUM(G44:G47)</f>
        <v>66155331.65</v>
      </c>
      <c r="H48" s="46">
        <f t="shared" si="21"/>
        <v>2718624.73</v>
      </c>
      <c r="I48" s="47">
        <f t="shared" si="2"/>
        <v>0.0410945673189744</v>
      </c>
      <c r="J48" s="46">
        <f t="shared" si="21"/>
        <v>4895740.14</v>
      </c>
      <c r="K48" s="47">
        <f t="shared" si="3"/>
        <v>0.0740037124430318</v>
      </c>
      <c r="L48" s="46">
        <f t="shared" si="21"/>
        <v>38569225.37</v>
      </c>
      <c r="M48" s="46">
        <f t="shared" si="21"/>
        <v>28052290.3</v>
      </c>
      <c r="N48" s="47">
        <f t="shared" si="4"/>
        <v>0.727323145095356</v>
      </c>
      <c r="O48" s="46">
        <f t="shared" si="21"/>
        <v>27359039.21</v>
      </c>
      <c r="P48" s="47">
        <f t="shared" si="5"/>
        <v>0.975287183948756</v>
      </c>
      <c r="Q48" s="46">
        <f t="shared" si="21"/>
        <v>230763512.79</v>
      </c>
      <c r="R48" s="46">
        <f t="shared" si="21"/>
        <v>6754688.93</v>
      </c>
      <c r="S48" s="47">
        <f t="shared" si="6"/>
        <v>0.0292710439719598</v>
      </c>
      <c r="T48" s="46">
        <f t="shared" si="21"/>
        <v>13065534.13</v>
      </c>
    </row>
    <row r="49" spans="1:20">
      <c r="A49" s="48" t="s">
        <v>60</v>
      </c>
      <c r="B49" s="49">
        <f>SUM(B48,B43)</f>
        <v>25194213.27</v>
      </c>
      <c r="C49" s="49">
        <f t="shared" ref="C49:T49" si="22">SUM(C48,C43)</f>
        <v>16094858.86</v>
      </c>
      <c r="D49" s="50">
        <f t="shared" si="0"/>
        <v>0.63883157165955</v>
      </c>
      <c r="E49" s="49">
        <f t="shared" si="22"/>
        <v>15618036.23</v>
      </c>
      <c r="F49" s="50">
        <f t="shared" si="1"/>
        <v>0.970374227313976</v>
      </c>
      <c r="G49" s="49">
        <f t="shared" si="22"/>
        <v>193734981.29</v>
      </c>
      <c r="H49" s="49">
        <f t="shared" si="22"/>
        <v>6096045.92</v>
      </c>
      <c r="I49" s="50">
        <f t="shared" si="2"/>
        <v>0.0314659019213205</v>
      </c>
      <c r="J49" s="49">
        <f t="shared" si="22"/>
        <v>12287194.93</v>
      </c>
      <c r="K49" s="50">
        <f t="shared" si="3"/>
        <v>0.0634226965527068</v>
      </c>
      <c r="L49" s="49">
        <f t="shared" si="22"/>
        <v>98577859.53</v>
      </c>
      <c r="M49" s="49">
        <f t="shared" si="22"/>
        <v>72021614.96</v>
      </c>
      <c r="N49" s="50">
        <f t="shared" si="4"/>
        <v>0.730606398874808</v>
      </c>
      <c r="O49" s="49">
        <f t="shared" si="22"/>
        <v>69852476.06</v>
      </c>
      <c r="P49" s="50">
        <f t="shared" si="5"/>
        <v>0.969882112457424</v>
      </c>
      <c r="Q49" s="49">
        <f t="shared" si="22"/>
        <v>441399932.27</v>
      </c>
      <c r="R49" s="49">
        <f t="shared" si="22"/>
        <v>18685798.98</v>
      </c>
      <c r="S49" s="50">
        <f t="shared" si="6"/>
        <v>0.0423330354490632</v>
      </c>
      <c r="T49" s="49">
        <f t="shared" si="22"/>
        <v>34690427.01</v>
      </c>
    </row>
    <row r="50" spans="1:20">
      <c r="A50" s="51" t="s">
        <v>61</v>
      </c>
      <c r="B50" s="52">
        <f>SUM(B49,B37,B29,B13)</f>
        <v>94349602.02</v>
      </c>
      <c r="C50" s="52">
        <f t="shared" ref="C50:T50" si="23">SUM(C49,C37,C29,C13)</f>
        <v>65446095.38</v>
      </c>
      <c r="D50" s="53">
        <f t="shared" si="0"/>
        <v>0.693655235197779</v>
      </c>
      <c r="E50" s="52">
        <f t="shared" si="23"/>
        <v>63773042.64</v>
      </c>
      <c r="F50" s="53">
        <f t="shared" si="1"/>
        <v>0.974436171779451</v>
      </c>
      <c r="G50" s="52">
        <f t="shared" si="23"/>
        <v>760266853.82</v>
      </c>
      <c r="H50" s="52">
        <f t="shared" si="23"/>
        <v>16832628.52</v>
      </c>
      <c r="I50" s="53">
        <f t="shared" si="2"/>
        <v>0.0221404213999645</v>
      </c>
      <c r="J50" s="52">
        <f t="shared" si="23"/>
        <v>30100442.17</v>
      </c>
      <c r="K50" s="53">
        <f t="shared" si="3"/>
        <v>0.0395919433009065</v>
      </c>
      <c r="L50" s="52">
        <f t="shared" si="23"/>
        <v>496671519.93</v>
      </c>
      <c r="M50" s="52">
        <f t="shared" si="23"/>
        <v>360736902.15</v>
      </c>
      <c r="N50" s="53">
        <f t="shared" si="4"/>
        <v>0.726308813118259</v>
      </c>
      <c r="O50" s="52">
        <f t="shared" si="23"/>
        <v>350720873.92</v>
      </c>
      <c r="P50" s="53">
        <f t="shared" si="5"/>
        <v>0.972234533893527</v>
      </c>
      <c r="Q50" s="52">
        <f t="shared" si="23"/>
        <v>1503353988.9</v>
      </c>
      <c r="R50" s="52">
        <f t="shared" si="23"/>
        <v>79107780.26</v>
      </c>
      <c r="S50" s="53">
        <f t="shared" si="6"/>
        <v>0.0526208603190543</v>
      </c>
      <c r="T50" s="52">
        <f t="shared" si="23"/>
        <v>152681685.19</v>
      </c>
    </row>
    <row r="51" spans="1:20">
      <c r="A51" s="40" t="s">
        <v>62</v>
      </c>
      <c r="B51" s="43">
        <f>VLOOKUP(A51,[1]ticket_pivot!$A$6:$V$127,2,FALSE)</f>
        <v>564045.73</v>
      </c>
      <c r="C51" s="43">
        <f>VLOOKUP(A51,[1]ticket_pivot!$A$6:$V$127,3,FALSE)</f>
        <v>169675.05</v>
      </c>
      <c r="D51" s="44">
        <f t="shared" si="0"/>
        <v>0.300817896449637</v>
      </c>
      <c r="E51" s="43">
        <f>VLOOKUP(A51,[1]ticket_pivot!$A$6:$V$127,4,FALSE)</f>
        <v>169465.23</v>
      </c>
      <c r="F51" s="44">
        <f t="shared" si="1"/>
        <v>0.998763400983232</v>
      </c>
      <c r="G51" s="43">
        <f>VLOOKUP(A51,[1]Sheet12!$A$5:$G$125,2,FALSE)</f>
        <v>2326962.82</v>
      </c>
      <c r="H51" s="43">
        <f>VLOOKUP(A51,[1]NPL!$A$5:$H$119,2,FALSE)</f>
        <v>307132.5</v>
      </c>
      <c r="I51" s="44">
        <f t="shared" si="2"/>
        <v>0.131988572125102</v>
      </c>
      <c r="J51" s="43">
        <f>VLOOKUP(A51,[1]PAR!$A$5:$H$120,2,FALSE)</f>
        <v>945378.63</v>
      </c>
      <c r="K51" s="44">
        <f t="shared" si="3"/>
        <v>0.406271480521549</v>
      </c>
      <c r="L51" s="43">
        <f>VLOOKUP(A51,[1]ticket_pivot!$A$6:$V$127,5,FALSE)</f>
        <v>5816029.83</v>
      </c>
      <c r="M51" s="43">
        <f>VLOOKUP(A51,[1]ticket_pivot!$A$6:$V$127,6,FALSE)</f>
        <v>3776910.19</v>
      </c>
      <c r="N51" s="44">
        <f t="shared" si="4"/>
        <v>0.649396633166856</v>
      </c>
      <c r="O51" s="43">
        <f>VLOOKUP(A51,[1]ticket_pivot!$A$6:$V$127,7,FALSE)</f>
        <v>3744744.23</v>
      </c>
      <c r="P51" s="44">
        <f t="shared" si="5"/>
        <v>0.991483525320468</v>
      </c>
      <c r="Q51" s="43">
        <f>VLOOKUP(A51,[1]Sheet12!$A$5:$G$125,3,FALSE)</f>
        <v>38511690.51</v>
      </c>
      <c r="R51" s="43">
        <f>VLOOKUP(A51,[1]NPL!$A$5:$H$119,3,FALSE)</f>
        <v>2444085.7</v>
      </c>
      <c r="S51" s="44">
        <f t="shared" si="6"/>
        <v>0.0634634747951499</v>
      </c>
      <c r="T51" s="43">
        <f>VLOOKUP(A51,[1]PAR!$A$5:$H$120,3,FALSE)</f>
        <v>2695449.76</v>
      </c>
    </row>
    <row r="52" spans="1:20">
      <c r="A52" s="40" t="s">
        <v>63</v>
      </c>
      <c r="B52" s="43">
        <f>VLOOKUP(A52,[1]ticket_pivot!$A$6:$V$127,2,FALSE)</f>
        <v>772371.83</v>
      </c>
      <c r="C52" s="43">
        <f>VLOOKUP(A52,[1]ticket_pivot!$A$6:$V$127,3,FALSE)</f>
        <v>486177.51</v>
      </c>
      <c r="D52" s="44">
        <f t="shared" si="0"/>
        <v>0.629460437468311</v>
      </c>
      <c r="E52" s="43">
        <f>VLOOKUP(A52,[1]ticket_pivot!$A$6:$V$127,4,FALSE)</f>
        <v>485316.82</v>
      </c>
      <c r="F52" s="44">
        <f t="shared" si="1"/>
        <v>0.9982296795259</v>
      </c>
      <c r="G52" s="43">
        <f>VLOOKUP(A52,[1]Sheet12!$A$5:$G$125,2,FALSE)</f>
        <v>6455439.32</v>
      </c>
      <c r="H52" s="43">
        <f>VLOOKUP(A52,[1]NPL!$A$5:$H$119,2,FALSE)</f>
        <v>0</v>
      </c>
      <c r="I52" s="44">
        <f t="shared" si="2"/>
        <v>0</v>
      </c>
      <c r="J52" s="43">
        <f>VLOOKUP(A52,[1]PAR!$A$5:$H$120,2,FALSE)</f>
        <v>961754.99</v>
      </c>
      <c r="K52" s="44">
        <f t="shared" si="3"/>
        <v>0.148983662044553</v>
      </c>
      <c r="L52" s="43">
        <f>VLOOKUP(A52,[1]ticket_pivot!$A$6:$V$127,5,FALSE)</f>
        <v>5771774.64</v>
      </c>
      <c r="M52" s="43">
        <f>VLOOKUP(A52,[1]ticket_pivot!$A$6:$V$127,6,FALSE)</f>
        <v>4449130.37</v>
      </c>
      <c r="N52" s="44">
        <f t="shared" si="4"/>
        <v>0.770842703934816</v>
      </c>
      <c r="O52" s="43">
        <f>VLOOKUP(A52,[1]ticket_pivot!$A$6:$V$127,7,FALSE)</f>
        <v>4379098.88</v>
      </c>
      <c r="P52" s="44">
        <f t="shared" si="5"/>
        <v>0.984259510471482</v>
      </c>
      <c r="Q52" s="43">
        <f>VLOOKUP(A52,[1]Sheet12!$A$5:$G$125,3,FALSE)</f>
        <v>61405790.63</v>
      </c>
      <c r="R52" s="43">
        <f>VLOOKUP(A52,[1]NPL!$A$5:$H$119,3,FALSE)</f>
        <v>1170507.81</v>
      </c>
      <c r="S52" s="44">
        <f t="shared" si="6"/>
        <v>0.0190618473924208</v>
      </c>
      <c r="T52" s="43">
        <f>VLOOKUP(A52,[1]PAR!$A$5:$H$120,3,FALSE)</f>
        <v>2066381.45</v>
      </c>
    </row>
    <row r="53" spans="1:20">
      <c r="A53" s="40" t="s">
        <v>64</v>
      </c>
      <c r="B53" s="43">
        <f>VLOOKUP(A53,[1]ticket_pivot!$A$6:$V$127,2,FALSE)</f>
        <v>1548741.58</v>
      </c>
      <c r="C53" s="43">
        <f>VLOOKUP(A53,[1]ticket_pivot!$A$6:$V$127,3,FALSE)</f>
        <v>601393.82</v>
      </c>
      <c r="D53" s="44">
        <f t="shared" si="0"/>
        <v>0.388311276565584</v>
      </c>
      <c r="E53" s="43">
        <f>VLOOKUP(A53,[1]ticket_pivot!$A$6:$V$127,4,FALSE)</f>
        <v>600354.46</v>
      </c>
      <c r="F53" s="44">
        <f t="shared" si="1"/>
        <v>0.998271748120059</v>
      </c>
      <c r="G53" s="43">
        <f>VLOOKUP(A53,[1]Sheet12!$A$5:$G$125,2,FALSE)</f>
        <v>14152287.18</v>
      </c>
      <c r="H53" s="43">
        <f>VLOOKUP(A53,[1]NPL!$A$5:$H$119,2,FALSE)</f>
        <v>956825.25</v>
      </c>
      <c r="I53" s="44">
        <f t="shared" si="2"/>
        <v>0.0676092307787666</v>
      </c>
      <c r="J53" s="43">
        <f>VLOOKUP(A53,[1]PAR!$A$5:$H$120,2,FALSE)</f>
        <v>1296254.15</v>
      </c>
      <c r="K53" s="44">
        <f t="shared" si="3"/>
        <v>0.0915932621712104</v>
      </c>
      <c r="L53" s="43">
        <f>VLOOKUP(A53,[1]ticket_pivot!$A$6:$V$127,5,FALSE)</f>
        <v>14705740.76</v>
      </c>
      <c r="M53" s="43">
        <f>VLOOKUP(A53,[1]ticket_pivot!$A$6:$V$127,6,FALSE)</f>
        <v>7765776.98</v>
      </c>
      <c r="N53" s="44">
        <f t="shared" si="4"/>
        <v>0.528077919143191</v>
      </c>
      <c r="O53" s="43">
        <f>VLOOKUP(A53,[1]ticket_pivot!$A$6:$V$127,7,FALSE)</f>
        <v>7306668.25</v>
      </c>
      <c r="P53" s="44">
        <f t="shared" si="5"/>
        <v>0.94088051573173</v>
      </c>
      <c r="Q53" s="43">
        <f>VLOOKUP(A53,[1]Sheet12!$A$5:$G$125,3,FALSE)</f>
        <v>38211282.42</v>
      </c>
      <c r="R53" s="43">
        <f>VLOOKUP(A53,[1]NPL!$A$5:$H$119,3,FALSE)</f>
        <v>7172622.78</v>
      </c>
      <c r="S53" s="44">
        <f t="shared" si="6"/>
        <v>0.187709553978377</v>
      </c>
      <c r="T53" s="43">
        <f>VLOOKUP(A53,[1]PAR!$A$5:$H$120,3,FALSE)</f>
        <v>13968708.17</v>
      </c>
    </row>
    <row r="54" spans="1:20">
      <c r="A54" s="40" t="s">
        <v>65</v>
      </c>
      <c r="B54" s="43"/>
      <c r="C54" s="43"/>
      <c r="D54" s="44" t="str">
        <f t="shared" si="0"/>
        <v/>
      </c>
      <c r="E54" s="43"/>
      <c r="F54" s="44" t="str">
        <f t="shared" si="1"/>
        <v/>
      </c>
      <c r="G54" s="43"/>
      <c r="H54" s="43"/>
      <c r="I54" s="44" t="str">
        <f t="shared" si="2"/>
        <v/>
      </c>
      <c r="J54" s="43"/>
      <c r="K54" s="44" t="str">
        <f t="shared" si="3"/>
        <v/>
      </c>
      <c r="L54" s="43"/>
      <c r="M54" s="43"/>
      <c r="N54" s="44" t="str">
        <f t="shared" si="4"/>
        <v/>
      </c>
      <c r="O54" s="43"/>
      <c r="P54" s="44" t="str">
        <f t="shared" si="5"/>
        <v/>
      </c>
      <c r="Q54" s="43"/>
      <c r="R54" s="43"/>
      <c r="S54" s="44" t="str">
        <f t="shared" si="6"/>
        <v/>
      </c>
      <c r="T54" s="43"/>
    </row>
    <row r="55" spans="1:20">
      <c r="A55" s="45" t="s">
        <v>66</v>
      </c>
      <c r="B55" s="46">
        <f>SUM(B51:B54)</f>
        <v>2885159.14</v>
      </c>
      <c r="C55" s="46">
        <f t="shared" ref="C55:T55" si="24">SUM(C51:C54)</f>
        <v>1257246.38</v>
      </c>
      <c r="D55" s="47">
        <f t="shared" si="0"/>
        <v>0.4357632695436</v>
      </c>
      <c r="E55" s="46">
        <f t="shared" si="24"/>
        <v>1255136.51</v>
      </c>
      <c r="F55" s="47">
        <f t="shared" si="1"/>
        <v>0.998321832511461</v>
      </c>
      <c r="G55" s="46">
        <f t="shared" si="24"/>
        <v>22934689.32</v>
      </c>
      <c r="H55" s="46">
        <f t="shared" si="24"/>
        <v>1263957.75</v>
      </c>
      <c r="I55" s="47">
        <f t="shared" si="2"/>
        <v>0.0551111781966794</v>
      </c>
      <c r="J55" s="46">
        <f t="shared" si="24"/>
        <v>3203387.77</v>
      </c>
      <c r="K55" s="47">
        <f t="shared" si="3"/>
        <v>0.139674347679369</v>
      </c>
      <c r="L55" s="46">
        <f t="shared" si="24"/>
        <v>26293545.23</v>
      </c>
      <c r="M55" s="46">
        <f t="shared" si="24"/>
        <v>15991817.54</v>
      </c>
      <c r="N55" s="47">
        <f t="shared" si="4"/>
        <v>0.608203169261249</v>
      </c>
      <c r="O55" s="46">
        <f t="shared" si="24"/>
        <v>15430511.36</v>
      </c>
      <c r="P55" s="47">
        <f t="shared" si="5"/>
        <v>0.964900413689938</v>
      </c>
      <c r="Q55" s="46">
        <f t="shared" si="24"/>
        <v>138128763.56</v>
      </c>
      <c r="R55" s="46">
        <f t="shared" si="24"/>
        <v>10787216.29</v>
      </c>
      <c r="S55" s="47">
        <f t="shared" si="6"/>
        <v>0.0780953655993183</v>
      </c>
      <c r="T55" s="46">
        <f t="shared" si="24"/>
        <v>18730539.38</v>
      </c>
    </row>
    <row r="56" spans="1:20">
      <c r="A56" s="40" t="s">
        <v>67</v>
      </c>
      <c r="B56" s="43">
        <f>VLOOKUP(A56,[1]ticket_pivot!$A$6:$V$127,2,FALSE)</f>
        <v>394678.54</v>
      </c>
      <c r="C56" s="43">
        <f>VLOOKUP(A56,[1]ticket_pivot!$A$6:$V$127,3,FALSE)</f>
        <v>212088.37</v>
      </c>
      <c r="D56" s="44">
        <f t="shared" si="0"/>
        <v>0.537369906151979</v>
      </c>
      <c r="E56" s="43">
        <f>VLOOKUP(A56,[1]ticket_pivot!$A$6:$V$127,4,FALSE)</f>
        <v>211846.78</v>
      </c>
      <c r="F56" s="44">
        <f t="shared" si="1"/>
        <v>0.998860899350587</v>
      </c>
      <c r="G56" s="43">
        <f>VLOOKUP(A56,[1]Sheet12!$A$5:$G$125,2,FALSE)</f>
        <v>2056376.1</v>
      </c>
      <c r="H56" s="43">
        <f>VLOOKUP(A56,[1]NPL!$A$5:$H$119,2,FALSE)</f>
        <v>81351.24</v>
      </c>
      <c r="I56" s="44">
        <f t="shared" si="2"/>
        <v>0.0395604870140243</v>
      </c>
      <c r="J56" s="43">
        <f>VLOOKUP(A56,[1]PAR!$A$5:$H$120,2,FALSE)</f>
        <v>261516.02</v>
      </c>
      <c r="K56" s="44">
        <f t="shared" si="3"/>
        <v>0.127173244232901</v>
      </c>
      <c r="L56" s="43">
        <f>VLOOKUP(A56,[1]ticket_pivot!$A$6:$V$127,5,FALSE)</f>
        <v>9827002.45</v>
      </c>
      <c r="M56" s="43">
        <f>VLOOKUP(A56,[1]ticket_pivot!$A$6:$V$127,6,FALSE)</f>
        <v>5336362.58</v>
      </c>
      <c r="N56" s="44">
        <f t="shared" si="4"/>
        <v>0.543030553533646</v>
      </c>
      <c r="O56" s="43">
        <f>VLOOKUP(A56,[1]ticket_pivot!$A$6:$V$127,7,FALSE)</f>
        <v>5220196.18</v>
      </c>
      <c r="P56" s="44">
        <f t="shared" si="5"/>
        <v>0.978231164344909</v>
      </c>
      <c r="Q56" s="43">
        <f>VLOOKUP(A56,[1]Sheet12!$A$5:$G$125,3,FALSE)</f>
        <v>74900163.95</v>
      </c>
      <c r="R56" s="43">
        <f>VLOOKUP(A56,[1]NPL!$A$5:$H$119,3,FALSE)</f>
        <v>4906186.61</v>
      </c>
      <c r="S56" s="44">
        <f t="shared" si="6"/>
        <v>0.0655030156312495</v>
      </c>
      <c r="T56" s="43">
        <f>VLOOKUP(A56,[1]PAR!$A$5:$H$120,3,FALSE)</f>
        <v>12472584.29</v>
      </c>
    </row>
    <row r="57" spans="1:20">
      <c r="A57" s="40" t="s">
        <v>68</v>
      </c>
      <c r="B57" s="43">
        <f>VLOOKUP(A57,[1]ticket_pivot!$A$6:$V$127,2,FALSE)</f>
        <v>633819.02</v>
      </c>
      <c r="C57" s="43">
        <f>VLOOKUP(A57,[1]ticket_pivot!$A$6:$V$127,3,FALSE)</f>
        <v>247817.82</v>
      </c>
      <c r="D57" s="44">
        <f t="shared" si="0"/>
        <v>0.390991453680264</v>
      </c>
      <c r="E57" s="43">
        <f>VLOOKUP(A57,[1]ticket_pivot!$A$6:$V$127,4,FALSE)</f>
        <v>247781</v>
      </c>
      <c r="F57" s="44">
        <f t="shared" si="1"/>
        <v>0.999851423113963</v>
      </c>
      <c r="G57" s="43">
        <f>VLOOKUP(A57,[1]Sheet12!$A$5:$G$125,2,FALSE)</f>
        <v>4684108.15</v>
      </c>
      <c r="H57" s="43">
        <f>VLOOKUP(A57,[1]NPL!$A$5:$H$119,2,FALSE)</f>
        <v>0</v>
      </c>
      <c r="I57" s="44">
        <f t="shared" si="2"/>
        <v>0</v>
      </c>
      <c r="J57" s="43">
        <f>VLOOKUP(A57,[1]PAR!$A$5:$H$120,2,FALSE)</f>
        <v>869035.29</v>
      </c>
      <c r="K57" s="44">
        <f t="shared" si="3"/>
        <v>0.185528442591574</v>
      </c>
      <c r="L57" s="43">
        <f>VLOOKUP(A57,[1]ticket_pivot!$A$6:$V$127,5,FALSE)</f>
        <v>9630604.33</v>
      </c>
      <c r="M57" s="43">
        <f>VLOOKUP(A57,[1]ticket_pivot!$A$6:$V$127,6,FALSE)</f>
        <v>7167206.5</v>
      </c>
      <c r="N57" s="44">
        <f t="shared" si="4"/>
        <v>0.744211500588146</v>
      </c>
      <c r="O57" s="43">
        <f>VLOOKUP(A57,[1]ticket_pivot!$A$6:$V$127,7,FALSE)</f>
        <v>6561574.32</v>
      </c>
      <c r="P57" s="44">
        <f t="shared" si="5"/>
        <v>0.915499549231628</v>
      </c>
      <c r="Q57" s="43">
        <f>VLOOKUP(A57,[1]Sheet12!$A$5:$G$125,3,FALSE)</f>
        <v>54081026.11</v>
      </c>
      <c r="R57" s="43">
        <f>VLOOKUP(A57,[1]NPL!$A$5:$H$119,3,FALSE)</f>
        <v>3181590.67</v>
      </c>
      <c r="S57" s="44">
        <f t="shared" si="6"/>
        <v>0.0588300721870308</v>
      </c>
      <c r="T57" s="43">
        <f>VLOOKUP(A57,[1]PAR!$A$5:$H$120,3,FALSE)</f>
        <v>5487002.36</v>
      </c>
    </row>
    <row r="58" spans="1:20">
      <c r="A58" s="40" t="s">
        <v>69</v>
      </c>
      <c r="B58" s="43">
        <f>VLOOKUP(A58,[1]ticket_pivot!$A$6:$V$127,2,FALSE)</f>
        <v>1293228.28</v>
      </c>
      <c r="C58" s="43">
        <f>VLOOKUP(A58,[1]ticket_pivot!$A$6:$V$127,3,FALSE)</f>
        <v>238812.25</v>
      </c>
      <c r="D58" s="44">
        <f t="shared" si="0"/>
        <v>0.184663646545063</v>
      </c>
      <c r="E58" s="43">
        <f>VLOOKUP(A58,[1]ticket_pivot!$A$6:$V$127,4,FALSE)</f>
        <v>238525.04</v>
      </c>
      <c r="F58" s="44">
        <f t="shared" si="1"/>
        <v>0.998797339751206</v>
      </c>
      <c r="G58" s="43">
        <f>VLOOKUP(A58,[1]Sheet12!$A$5:$G$125,2,FALSE)</f>
        <v>5600706.16</v>
      </c>
      <c r="H58" s="43">
        <f>VLOOKUP(A58,[1]NPL!$A$5:$H$119,2,FALSE)</f>
        <v>1289470.67</v>
      </c>
      <c r="I58" s="44">
        <f t="shared" si="2"/>
        <v>0.230233587187513</v>
      </c>
      <c r="J58" s="43">
        <f>VLOOKUP(A58,[1]PAR!$A$5:$H$120,2,FALSE)</f>
        <v>1968958.99</v>
      </c>
      <c r="K58" s="44">
        <f t="shared" si="3"/>
        <v>0.351555488495758</v>
      </c>
      <c r="L58" s="43">
        <f>VLOOKUP(A58,[1]ticket_pivot!$A$6:$V$127,5,FALSE)</f>
        <v>11515007.22</v>
      </c>
      <c r="M58" s="43">
        <f>VLOOKUP(A58,[1]ticket_pivot!$A$6:$V$127,6,FALSE)</f>
        <v>8708316.78</v>
      </c>
      <c r="N58" s="44">
        <f t="shared" si="4"/>
        <v>0.756258039063566</v>
      </c>
      <c r="O58" s="43">
        <f>VLOOKUP(A58,[1]ticket_pivot!$A$6:$V$127,7,FALSE)</f>
        <v>8554012.84</v>
      </c>
      <c r="P58" s="44">
        <f t="shared" si="5"/>
        <v>0.982280853591088</v>
      </c>
      <c r="Q58" s="43">
        <f>VLOOKUP(A58,[1]Sheet12!$A$5:$G$125,3,FALSE)</f>
        <v>68430804.14</v>
      </c>
      <c r="R58" s="43">
        <f>VLOOKUP(A58,[1]NPL!$A$5:$H$119,3,FALSE)</f>
        <v>2314783.37</v>
      </c>
      <c r="S58" s="44">
        <f t="shared" si="6"/>
        <v>0.0338266282135787</v>
      </c>
      <c r="T58" s="43">
        <f>VLOOKUP(A58,[1]PAR!$A$5:$H$120,3,FALSE)</f>
        <v>4116850.39</v>
      </c>
    </row>
    <row r="59" spans="1:20">
      <c r="A59" s="40" t="s">
        <v>70</v>
      </c>
      <c r="B59" s="43">
        <f>VLOOKUP(A59,[1]ticket_pivot!$A$6:$V$127,2,FALSE)</f>
        <v>417465.47</v>
      </c>
      <c r="C59" s="43">
        <f>VLOOKUP(A59,[1]ticket_pivot!$A$6:$V$127,3,FALSE)</f>
        <v>311145.96</v>
      </c>
      <c r="D59" s="44">
        <f t="shared" si="0"/>
        <v>0.745321427422488</v>
      </c>
      <c r="E59" s="43">
        <f>VLOOKUP(A59,[1]ticket_pivot!$A$6:$V$127,4,FALSE)</f>
        <v>292680.27</v>
      </c>
      <c r="F59" s="44">
        <f t="shared" si="1"/>
        <v>0.940652644180243</v>
      </c>
      <c r="G59" s="43">
        <f>VLOOKUP(A59,[1]Sheet12!$A$5:$G$125,2,FALSE)</f>
        <v>4902759.55</v>
      </c>
      <c r="H59" s="43">
        <f>VLOOKUP(A59,[1]NPL!$A$5:$H$119,2,FALSE)</f>
        <v>0</v>
      </c>
      <c r="I59" s="44">
        <f t="shared" si="2"/>
        <v>0</v>
      </c>
      <c r="J59" s="43">
        <f>VLOOKUP(A59,[1]PAR!$A$5:$H$120,2,FALSE)</f>
        <v>222118.55</v>
      </c>
      <c r="K59" s="44">
        <f t="shared" si="3"/>
        <v>0.0453048018640849</v>
      </c>
      <c r="L59" s="43">
        <f>VLOOKUP(A59,[1]ticket_pivot!$A$6:$V$127,5,FALSE)</f>
        <v>9885760.33</v>
      </c>
      <c r="M59" s="43">
        <f>VLOOKUP(A59,[1]ticket_pivot!$A$6:$V$127,6,FALSE)</f>
        <v>8032715.68</v>
      </c>
      <c r="N59" s="44">
        <f t="shared" si="4"/>
        <v>0.812554159908508</v>
      </c>
      <c r="O59" s="43">
        <f>VLOOKUP(A59,[1]ticket_pivot!$A$6:$V$127,7,FALSE)</f>
        <v>7906532.96</v>
      </c>
      <c r="P59" s="44">
        <f t="shared" si="5"/>
        <v>0.984291399692613</v>
      </c>
      <c r="Q59" s="43">
        <f>VLOOKUP(A59,[1]Sheet12!$A$5:$G$125,3,FALSE)</f>
        <v>76593412.38</v>
      </c>
      <c r="R59" s="43">
        <f>VLOOKUP(A59,[1]NPL!$A$5:$H$119,3,FALSE)</f>
        <v>1929247.23</v>
      </c>
      <c r="S59" s="44">
        <f t="shared" si="6"/>
        <v>0.0251881613581661</v>
      </c>
      <c r="T59" s="43">
        <f>VLOOKUP(A59,[1]PAR!$A$5:$H$120,3,FALSE)</f>
        <v>3074449.86</v>
      </c>
    </row>
    <row r="60" spans="1:20">
      <c r="A60" s="40" t="s">
        <v>71</v>
      </c>
      <c r="B60" s="43">
        <f>VLOOKUP(A60,[1]ticket_pivot!$A$6:$V$127,2,FALSE)</f>
        <v>0</v>
      </c>
      <c r="C60" s="43">
        <f>VLOOKUP(A60,[1]ticket_pivot!$A$6:$V$127,3,FALSE)</f>
        <v>0</v>
      </c>
      <c r="D60" s="44" t="str">
        <f t="shared" si="0"/>
        <v/>
      </c>
      <c r="E60" s="43">
        <f>VLOOKUP(A60,[1]ticket_pivot!$A$6:$V$127,4,FALSE)</f>
        <v>0</v>
      </c>
      <c r="F60" s="44" t="str">
        <f t="shared" si="1"/>
        <v/>
      </c>
      <c r="G60" s="43">
        <f>VLOOKUP(A60,[1]Sheet12!$A$5:$G$125,2,FALSE)</f>
        <v>0</v>
      </c>
      <c r="H60" s="43"/>
      <c r="I60" s="44" t="str">
        <f t="shared" si="2"/>
        <v/>
      </c>
      <c r="J60" s="43"/>
      <c r="K60" s="44" t="str">
        <f t="shared" si="3"/>
        <v/>
      </c>
      <c r="L60" s="43">
        <f>VLOOKUP(A60,[1]ticket_pivot!$A$6:$V$127,5,FALSE)</f>
        <v>98644.45</v>
      </c>
      <c r="M60" s="43">
        <f>VLOOKUP(A60,[1]ticket_pivot!$A$6:$V$127,6,FALSE)</f>
        <v>0</v>
      </c>
      <c r="N60" s="44">
        <f t="shared" si="4"/>
        <v>0</v>
      </c>
      <c r="O60" s="43">
        <f>VLOOKUP(A60,[1]ticket_pivot!$A$6:$V$127,7,FALSE)</f>
        <v>0</v>
      </c>
      <c r="P60" s="44" t="str">
        <f t="shared" si="5"/>
        <v/>
      </c>
      <c r="Q60" s="43">
        <f>VLOOKUP(A60,[1]Sheet12!$A$5:$G$125,3,FALSE)</f>
        <v>0</v>
      </c>
      <c r="R60" s="43"/>
      <c r="S60" s="44" t="str">
        <f t="shared" si="6"/>
        <v/>
      </c>
      <c r="T60" s="43"/>
    </row>
    <row r="61" spans="1:20">
      <c r="A61" s="45" t="s">
        <v>72</v>
      </c>
      <c r="B61" s="46">
        <f>SUM(B56:B60)</f>
        <v>2739191.31</v>
      </c>
      <c r="C61" s="46">
        <f t="shared" ref="C61:T61" si="25">SUM(C56:C60)</f>
        <v>1009864.4</v>
      </c>
      <c r="D61" s="47">
        <f t="shared" si="0"/>
        <v>0.368672460486157</v>
      </c>
      <c r="E61" s="46">
        <f t="shared" si="25"/>
        <v>990833.09</v>
      </c>
      <c r="F61" s="47">
        <f t="shared" si="1"/>
        <v>0.98115458867547</v>
      </c>
      <c r="G61" s="46">
        <f t="shared" si="25"/>
        <v>17243949.96</v>
      </c>
      <c r="H61" s="46">
        <f t="shared" si="25"/>
        <v>1370821.91</v>
      </c>
      <c r="I61" s="47">
        <f t="shared" si="2"/>
        <v>0.0794958181379459</v>
      </c>
      <c r="J61" s="46">
        <f t="shared" si="25"/>
        <v>3321628.85</v>
      </c>
      <c r="K61" s="47">
        <f t="shared" si="3"/>
        <v>0.192625753247083</v>
      </c>
      <c r="L61" s="46">
        <f t="shared" si="25"/>
        <v>40957018.78</v>
      </c>
      <c r="M61" s="46">
        <f t="shared" si="25"/>
        <v>29244601.54</v>
      </c>
      <c r="N61" s="47">
        <f t="shared" si="4"/>
        <v>0.71403149963348</v>
      </c>
      <c r="O61" s="46">
        <f t="shared" si="25"/>
        <v>28242316.3</v>
      </c>
      <c r="P61" s="47">
        <f t="shared" si="5"/>
        <v>0.965727512524693</v>
      </c>
      <c r="Q61" s="46">
        <f t="shared" si="25"/>
        <v>274005406.58</v>
      </c>
      <c r="R61" s="46">
        <f t="shared" si="25"/>
        <v>12331807.88</v>
      </c>
      <c r="S61" s="47">
        <f t="shared" si="6"/>
        <v>0.0450057100475481</v>
      </c>
      <c r="T61" s="46">
        <f t="shared" si="25"/>
        <v>25150886.9</v>
      </c>
    </row>
    <row r="62" spans="1:20">
      <c r="A62" s="48" t="s">
        <v>73</v>
      </c>
      <c r="B62" s="49">
        <f>SUM(B61,B55)</f>
        <v>5624350.45</v>
      </c>
      <c r="C62" s="49">
        <f>SUM(C61,C55)</f>
        <v>2267110.78</v>
      </c>
      <c r="D62" s="50">
        <f t="shared" si="0"/>
        <v>0.403088463308683</v>
      </c>
      <c r="E62" s="49">
        <f t="shared" ref="E62:T62" si="26">SUM(E61,E55)</f>
        <v>2245969.6</v>
      </c>
      <c r="F62" s="50">
        <f t="shared" si="1"/>
        <v>0.990674835924868</v>
      </c>
      <c r="G62" s="49">
        <f t="shared" si="26"/>
        <v>40178639.28</v>
      </c>
      <c r="H62" s="49">
        <f t="shared" si="26"/>
        <v>2634779.66</v>
      </c>
      <c r="I62" s="50">
        <f t="shared" si="2"/>
        <v>0.0655766274621334</v>
      </c>
      <c r="J62" s="49">
        <f t="shared" si="26"/>
        <v>6525016.62</v>
      </c>
      <c r="K62" s="50">
        <f t="shared" si="3"/>
        <v>0.162400139400639</v>
      </c>
      <c r="L62" s="49">
        <f t="shared" si="26"/>
        <v>67250564.01</v>
      </c>
      <c r="M62" s="49">
        <f t="shared" si="26"/>
        <v>45236419.08</v>
      </c>
      <c r="N62" s="50">
        <f t="shared" si="4"/>
        <v>0.67265486536698</v>
      </c>
      <c r="O62" s="49">
        <f t="shared" si="26"/>
        <v>43672827.66</v>
      </c>
      <c r="P62" s="50">
        <f t="shared" si="5"/>
        <v>0.965435119494432</v>
      </c>
      <c r="Q62" s="49">
        <f t="shared" si="26"/>
        <v>412134170.14</v>
      </c>
      <c r="R62" s="49">
        <f t="shared" si="26"/>
        <v>23119024.17</v>
      </c>
      <c r="S62" s="50">
        <f t="shared" si="6"/>
        <v>0.0560958683968053</v>
      </c>
      <c r="T62" s="49">
        <f t="shared" si="26"/>
        <v>43881426.28</v>
      </c>
    </row>
    <row r="63" spans="1:20">
      <c r="A63" s="40" t="s">
        <v>74</v>
      </c>
      <c r="B63" s="43">
        <f>VLOOKUP(A63,[1]ticket_pivot!$A$6:$V$127,2,FALSE)</f>
        <v>198315.63</v>
      </c>
      <c r="C63" s="43">
        <f>VLOOKUP(A63,[1]ticket_pivot!$A$6:$V$127,3,FALSE)</f>
        <v>198631.66</v>
      </c>
      <c r="D63" s="44">
        <f t="shared" si="0"/>
        <v>1.00159357081436</v>
      </c>
      <c r="E63" s="43">
        <f>VLOOKUP(A63,[1]ticket_pivot!$A$6:$V$127,4,FALSE)</f>
        <v>198315.63</v>
      </c>
      <c r="F63" s="44">
        <f t="shared" si="1"/>
        <v>0.998408964613194</v>
      </c>
      <c r="G63" s="43">
        <f>VLOOKUP(A63,[1]Sheet12!$A$5:$G$125,2,FALSE)</f>
        <v>3105506.82</v>
      </c>
      <c r="H63" s="43"/>
      <c r="I63" s="44">
        <f t="shared" si="2"/>
        <v>0</v>
      </c>
      <c r="J63" s="43"/>
      <c r="K63" s="44">
        <f t="shared" si="3"/>
        <v>0</v>
      </c>
      <c r="L63" s="43">
        <f>VLOOKUP(A63,[1]ticket_pivot!$A$6:$V$127,5,FALSE)</f>
        <v>2569606.72</v>
      </c>
      <c r="M63" s="43">
        <f>VLOOKUP(A63,[1]ticket_pivot!$A$6:$V$127,6,FALSE)</f>
        <v>2425379.42</v>
      </c>
      <c r="N63" s="44">
        <f t="shared" si="4"/>
        <v>0.94387183887813</v>
      </c>
      <c r="O63" s="43">
        <f>VLOOKUP(A63,[1]ticket_pivot!$A$6:$V$127,7,FALSE)</f>
        <v>2423903.49</v>
      </c>
      <c r="P63" s="44">
        <f t="shared" si="5"/>
        <v>0.999391464284792</v>
      </c>
      <c r="Q63" s="43">
        <f>VLOOKUP(A63,[1]Sheet12!$A$5:$G$125,3,FALSE)</f>
        <v>0</v>
      </c>
      <c r="R63" s="43"/>
      <c r="S63" s="44" t="str">
        <f t="shared" si="6"/>
        <v/>
      </c>
      <c r="T63" s="43"/>
    </row>
    <row r="64" spans="1:20">
      <c r="A64" s="40" t="s">
        <v>75</v>
      </c>
      <c r="B64" s="43">
        <f>VLOOKUP(A64,[1]ticket_pivot!$A$6:$V$127,2,FALSE)</f>
        <v>1256099.4</v>
      </c>
      <c r="C64" s="43">
        <f>VLOOKUP(A64,[1]ticket_pivot!$A$6:$V$127,3,FALSE)</f>
        <v>185438.31</v>
      </c>
      <c r="D64" s="44">
        <f t="shared" si="0"/>
        <v>0.1476302830811</v>
      </c>
      <c r="E64" s="43">
        <f>VLOOKUP(A64,[1]ticket_pivot!$A$6:$V$127,4,FALSE)</f>
        <v>183984.51</v>
      </c>
      <c r="F64" s="44">
        <f t="shared" si="1"/>
        <v>0.99216019602422</v>
      </c>
      <c r="G64" s="43">
        <f>VLOOKUP(A64,[1]Sheet12!$A$5:$G$125,2,FALSE)</f>
        <v>4021086.89</v>
      </c>
      <c r="H64" s="43">
        <f>VLOOKUP(A64,[1]NPL!$A$5:$H$119,2,FALSE)</f>
        <v>1053598.61</v>
      </c>
      <c r="I64" s="44">
        <f t="shared" si="2"/>
        <v>0.262018364393016</v>
      </c>
      <c r="J64" s="43">
        <f>VLOOKUP(A64,[1]PAR!$A$5:$H$120,2,FALSE)</f>
        <v>1053598.61</v>
      </c>
      <c r="K64" s="44">
        <f t="shared" si="3"/>
        <v>0.262018364393016</v>
      </c>
      <c r="L64" s="43">
        <f>VLOOKUP(A64,[1]ticket_pivot!$A$6:$V$127,5,FALSE)</f>
        <v>28110783.92</v>
      </c>
      <c r="M64" s="43">
        <f>VLOOKUP(A64,[1]ticket_pivot!$A$6:$V$127,6,FALSE)</f>
        <v>19994691.29</v>
      </c>
      <c r="N64" s="44">
        <f t="shared" si="4"/>
        <v>0.711281881960409</v>
      </c>
      <c r="O64" s="43">
        <f>VLOOKUP(A64,[1]ticket_pivot!$A$6:$V$127,7,FALSE)</f>
        <v>18893758.42</v>
      </c>
      <c r="P64" s="44">
        <f t="shared" si="5"/>
        <v>0.944938741287263</v>
      </c>
      <c r="Q64" s="43">
        <f>VLOOKUP(A64,[1]Sheet12!$A$5:$G$125,3,FALSE)</f>
        <v>41921593.54</v>
      </c>
      <c r="R64" s="43">
        <f>VLOOKUP(A64,[1]NPL!$A$5:$H$119,3,FALSE)</f>
        <v>5695289.45</v>
      </c>
      <c r="S64" s="44">
        <f t="shared" si="6"/>
        <v>0.13585574805418</v>
      </c>
      <c r="T64" s="43">
        <f>VLOOKUP(A64,[1]PAR!$A$5:$H$120,3,FALSE)</f>
        <v>11916900.55</v>
      </c>
    </row>
    <row r="65" spans="1:20">
      <c r="A65" s="40" t="s">
        <v>76</v>
      </c>
      <c r="B65" s="43">
        <f>VLOOKUP(A65,[1]ticket_pivot!$A$6:$V$127,2,FALSE)</f>
        <v>0</v>
      </c>
      <c r="C65" s="43">
        <f>VLOOKUP(A65,[1]ticket_pivot!$A$6:$V$127,3,FALSE)</f>
        <v>0</v>
      </c>
      <c r="D65" s="44" t="str">
        <f t="shared" si="0"/>
        <v/>
      </c>
      <c r="E65" s="43">
        <f>VLOOKUP(A65,[1]ticket_pivot!$A$6:$V$127,4,FALSE)</f>
        <v>0</v>
      </c>
      <c r="F65" s="44" t="str">
        <f t="shared" si="1"/>
        <v/>
      </c>
      <c r="G65" s="43">
        <f>VLOOKUP(A65,[1]Sheet12!$A$5:$G$125,2,FALSE)</f>
        <v>0</v>
      </c>
      <c r="H65" s="43"/>
      <c r="I65" s="44" t="str">
        <f t="shared" si="2"/>
        <v/>
      </c>
      <c r="J65" s="43"/>
      <c r="K65" s="44" t="str">
        <f t="shared" si="3"/>
        <v/>
      </c>
      <c r="L65" s="43">
        <f>VLOOKUP(A65,[1]ticket_pivot!$A$6:$V$127,5,FALSE)</f>
        <v>3601126.21</v>
      </c>
      <c r="M65" s="43">
        <f>VLOOKUP(A65,[1]ticket_pivot!$A$6:$V$127,6,FALSE)</f>
        <v>3190027.1</v>
      </c>
      <c r="N65" s="44">
        <f t="shared" si="4"/>
        <v>0.885841515674065</v>
      </c>
      <c r="O65" s="43">
        <f>VLOOKUP(A65,[1]ticket_pivot!$A$6:$V$127,7,FALSE)</f>
        <v>3187217.79</v>
      </c>
      <c r="P65" s="44">
        <f t="shared" si="5"/>
        <v>0.999119346039411</v>
      </c>
      <c r="Q65" s="43">
        <f>VLOOKUP(A65,[1]Sheet12!$A$5:$G$125,3,FALSE)</f>
        <v>14067569.85</v>
      </c>
      <c r="R65" s="43"/>
      <c r="S65" s="44">
        <f t="shared" si="6"/>
        <v>0</v>
      </c>
      <c r="T65" s="43"/>
    </row>
    <row r="66" spans="1:20">
      <c r="A66" s="45" t="s">
        <v>77</v>
      </c>
      <c r="B66" s="46">
        <f>SUM(B63:B65)</f>
        <v>1454415.03</v>
      </c>
      <c r="C66" s="46">
        <f t="shared" ref="C66:T66" si="27">SUM(C63:C65)</f>
        <v>384069.97</v>
      </c>
      <c r="D66" s="47">
        <f t="shared" si="0"/>
        <v>0.264071782866545</v>
      </c>
      <c r="E66" s="46">
        <f t="shared" si="27"/>
        <v>382300.14</v>
      </c>
      <c r="F66" s="47">
        <f t="shared" si="1"/>
        <v>0.995391907365213</v>
      </c>
      <c r="G66" s="46">
        <f t="shared" si="27"/>
        <v>7126593.71</v>
      </c>
      <c r="H66" s="46">
        <f t="shared" si="27"/>
        <v>1053598.61</v>
      </c>
      <c r="I66" s="47">
        <f t="shared" si="2"/>
        <v>0.147840420385071</v>
      </c>
      <c r="J66" s="46">
        <f t="shared" si="27"/>
        <v>1053598.61</v>
      </c>
      <c r="K66" s="47">
        <f t="shared" si="3"/>
        <v>0.147840420385071</v>
      </c>
      <c r="L66" s="46">
        <f t="shared" si="27"/>
        <v>34281516.85</v>
      </c>
      <c r="M66" s="46">
        <f t="shared" si="27"/>
        <v>25610097.81</v>
      </c>
      <c r="N66" s="47">
        <f t="shared" si="4"/>
        <v>0.747052644200603</v>
      </c>
      <c r="O66" s="46">
        <f t="shared" si="27"/>
        <v>24504879.7</v>
      </c>
      <c r="P66" s="47">
        <f t="shared" si="5"/>
        <v>0.956844440103293</v>
      </c>
      <c r="Q66" s="46">
        <f t="shared" si="27"/>
        <v>55989163.39</v>
      </c>
      <c r="R66" s="46">
        <f t="shared" si="27"/>
        <v>5695289.45</v>
      </c>
      <c r="S66" s="47">
        <f t="shared" si="6"/>
        <v>0.101721281497434</v>
      </c>
      <c r="T66" s="46">
        <f t="shared" si="27"/>
        <v>11916900.55</v>
      </c>
    </row>
    <row r="67" spans="1:20">
      <c r="A67" s="48" t="s">
        <v>78</v>
      </c>
      <c r="B67" s="49">
        <f>B66</f>
        <v>1454415.03</v>
      </c>
      <c r="C67" s="49">
        <f t="shared" ref="C67:T67" si="28">C66</f>
        <v>384069.97</v>
      </c>
      <c r="D67" s="50">
        <f t="shared" si="0"/>
        <v>0.264071782866545</v>
      </c>
      <c r="E67" s="49">
        <f t="shared" si="28"/>
        <v>382300.14</v>
      </c>
      <c r="F67" s="50">
        <f t="shared" si="1"/>
        <v>0.995391907365213</v>
      </c>
      <c r="G67" s="49">
        <f t="shared" si="28"/>
        <v>7126593.71</v>
      </c>
      <c r="H67" s="49">
        <f t="shared" si="28"/>
        <v>1053598.61</v>
      </c>
      <c r="I67" s="50">
        <f t="shared" si="2"/>
        <v>0.147840420385071</v>
      </c>
      <c r="J67" s="49">
        <f t="shared" si="28"/>
        <v>1053598.61</v>
      </c>
      <c r="K67" s="50">
        <f t="shared" si="3"/>
        <v>0.147840420385071</v>
      </c>
      <c r="L67" s="49">
        <f t="shared" si="28"/>
        <v>34281516.85</v>
      </c>
      <c r="M67" s="49">
        <f t="shared" si="28"/>
        <v>25610097.81</v>
      </c>
      <c r="N67" s="50">
        <f t="shared" si="4"/>
        <v>0.747052644200603</v>
      </c>
      <c r="O67" s="49">
        <f t="shared" si="28"/>
        <v>24504879.7</v>
      </c>
      <c r="P67" s="50">
        <f t="shared" si="5"/>
        <v>0.956844440103293</v>
      </c>
      <c r="Q67" s="49">
        <f>Q66</f>
        <v>55989163.39</v>
      </c>
      <c r="R67" s="49">
        <f t="shared" si="28"/>
        <v>5695289.45</v>
      </c>
      <c r="S67" s="50">
        <f t="shared" si="6"/>
        <v>0.101721281497434</v>
      </c>
      <c r="T67" s="49">
        <f t="shared" si="28"/>
        <v>11916900.55</v>
      </c>
    </row>
    <row r="68" spans="1:20">
      <c r="A68" s="40" t="s">
        <v>79</v>
      </c>
      <c r="B68" s="43">
        <f>VLOOKUP(A68,[1]ticket_pivot!$A$6:$V$127,2,FALSE)</f>
        <v>3954834.64</v>
      </c>
      <c r="C68" s="43">
        <f>VLOOKUP(A68,[1]ticket_pivot!$A$6:$V$127,3,FALSE)</f>
        <v>1185792.03</v>
      </c>
      <c r="D68" s="44">
        <f t="shared" ref="D68:D131" si="29">IFERROR(C68/B68,"")</f>
        <v>0.299833529828696</v>
      </c>
      <c r="E68" s="43">
        <f>VLOOKUP(A68,[1]ticket_pivot!$A$6:$V$127,4,FALSE)</f>
        <v>1174203.06</v>
      </c>
      <c r="F68" s="44">
        <f t="shared" ref="F68:F131" si="30">IFERROR(E68/C68,"")</f>
        <v>0.990226810682814</v>
      </c>
      <c r="G68" s="43">
        <f>VLOOKUP(A68,[1]Sheet12!$A$5:$G$125,2,FALSE)</f>
        <v>19160803.96</v>
      </c>
      <c r="H68" s="43">
        <f>VLOOKUP(A68,[1]NPL!$A$5:$H$119,2,FALSE)</f>
        <v>2220455.8</v>
      </c>
      <c r="I68" s="44">
        <f t="shared" ref="I68:I131" si="31">IFERROR(H68/G68,"")</f>
        <v>0.115885314866506</v>
      </c>
      <c r="J68" s="43">
        <f>VLOOKUP(A68,[1]PAR!$A$5:$H$120,2,FALSE)</f>
        <v>4393416.61</v>
      </c>
      <c r="K68" s="44">
        <f t="shared" ref="K68:K131" si="32">IFERROR(J68/G68,"")</f>
        <v>0.22929187205149</v>
      </c>
      <c r="L68" s="43">
        <f>VLOOKUP(A68,[1]ticket_pivot!$A$6:$V$127,5,FALSE)</f>
        <v>9310643.15</v>
      </c>
      <c r="M68" s="43">
        <f>VLOOKUP(A68,[1]ticket_pivot!$A$6:$V$127,6,FALSE)</f>
        <v>5401991.94</v>
      </c>
      <c r="N68" s="44">
        <f t="shared" ref="N68:N131" si="33">IFERROR(M68/L68,"")</f>
        <v>0.580195358469946</v>
      </c>
      <c r="O68" s="43">
        <f>VLOOKUP(A68,[1]ticket_pivot!$A$6:$V$127,7,FALSE)</f>
        <v>5341799.37</v>
      </c>
      <c r="P68" s="44">
        <f t="shared" ref="P68:P131" si="34">IFERROR(O68/M68,"")</f>
        <v>0.988857338058154</v>
      </c>
      <c r="Q68" s="43">
        <f>VLOOKUP(A68,[1]Sheet12!$A$5:$G$125,3,FALSE)</f>
        <v>16663768.01</v>
      </c>
      <c r="R68" s="43">
        <f>VLOOKUP(A68,[1]NPL!$A$5:$H$119,3,FALSE)</f>
        <v>2228773.1</v>
      </c>
      <c r="S68" s="44">
        <f t="shared" ref="S68:S131" si="35">IFERROR(R68/Q68,"")</f>
        <v>0.133749647658471</v>
      </c>
      <c r="T68" s="43">
        <f>VLOOKUP(A68,[1]PAR!$A$5:$H$120,3,FALSE)</f>
        <v>5645322.01</v>
      </c>
    </row>
    <row r="69" spans="1:20">
      <c r="A69" s="40" t="s">
        <v>80</v>
      </c>
      <c r="B69" s="43">
        <f>VLOOKUP(A69,[1]ticket_pivot!$A$6:$V$127,2,FALSE)</f>
        <v>1826470.01</v>
      </c>
      <c r="C69" s="43">
        <f>VLOOKUP(A69,[1]ticket_pivot!$A$6:$V$127,3,FALSE)</f>
        <v>1375981.75</v>
      </c>
      <c r="D69" s="44">
        <f t="shared" si="29"/>
        <v>0.753355786006035</v>
      </c>
      <c r="E69" s="43">
        <f>VLOOKUP(A69,[1]ticket_pivot!$A$6:$V$127,4,FALSE)</f>
        <v>1331318.27</v>
      </c>
      <c r="F69" s="44">
        <f t="shared" si="30"/>
        <v>0.967540645070329</v>
      </c>
      <c r="G69" s="43">
        <f>VLOOKUP(A69,[1]Sheet12!$A$5:$G$125,2,FALSE)</f>
        <v>14781739.42</v>
      </c>
      <c r="H69" s="43">
        <f>VLOOKUP(A69,[1]NPL!$A$5:$H$119,2,FALSE)</f>
        <v>635150.73</v>
      </c>
      <c r="I69" s="44">
        <f t="shared" si="31"/>
        <v>0.0429686055174689</v>
      </c>
      <c r="J69" s="43">
        <f>VLOOKUP(A69,[1]PAR!$A$5:$H$120,2,FALSE)</f>
        <v>941649.35</v>
      </c>
      <c r="K69" s="44">
        <f t="shared" si="32"/>
        <v>0.0637035549906886</v>
      </c>
      <c r="L69" s="43">
        <f>VLOOKUP(A69,[1]ticket_pivot!$A$6:$V$127,5,FALSE)</f>
        <v>8376380.26</v>
      </c>
      <c r="M69" s="43">
        <f>VLOOKUP(A69,[1]ticket_pivot!$A$6:$V$127,6,FALSE)</f>
        <v>7441083.62</v>
      </c>
      <c r="N69" s="44">
        <f t="shared" si="33"/>
        <v>0.888341191425328</v>
      </c>
      <c r="O69" s="43">
        <f>VLOOKUP(A69,[1]ticket_pivot!$A$6:$V$127,7,FALSE)</f>
        <v>6976968.84</v>
      </c>
      <c r="P69" s="44">
        <f t="shared" si="34"/>
        <v>0.93762806552092</v>
      </c>
      <c r="Q69" s="43">
        <f>VLOOKUP(A69,[1]Sheet12!$A$5:$G$125,3,FALSE)</f>
        <v>88028637.15</v>
      </c>
      <c r="R69" s="43">
        <f>VLOOKUP(A69,[1]NPL!$A$5:$H$119,3,FALSE)</f>
        <v>202404.47</v>
      </c>
      <c r="S69" s="44">
        <f t="shared" si="35"/>
        <v>0.00229930255145385</v>
      </c>
      <c r="T69" s="43">
        <f>VLOOKUP(A69,[1]PAR!$A$5:$H$120,3,FALSE)</f>
        <v>2049102.51</v>
      </c>
    </row>
    <row r="70" spans="1:20">
      <c r="A70" s="40" t="s">
        <v>81</v>
      </c>
      <c r="B70" s="43">
        <f>VLOOKUP(A70,[1]ticket_pivot!$A$6:$V$127,2,FALSE)</f>
        <v>2726318.84</v>
      </c>
      <c r="C70" s="43">
        <f>VLOOKUP(A70,[1]ticket_pivot!$A$6:$V$127,3,FALSE)</f>
        <v>1697074.01</v>
      </c>
      <c r="D70" s="44">
        <f t="shared" si="29"/>
        <v>0.622478187474213</v>
      </c>
      <c r="E70" s="43">
        <f>VLOOKUP(A70,[1]ticket_pivot!$A$6:$V$127,4,FALSE)</f>
        <v>1624770.28</v>
      </c>
      <c r="F70" s="44">
        <f t="shared" si="30"/>
        <v>0.957395063754467</v>
      </c>
      <c r="G70" s="43">
        <f>VLOOKUP(A70,[1]Sheet12!$A$5:$G$125,2,FALSE)</f>
        <v>19720816.23</v>
      </c>
      <c r="H70" s="43">
        <f>VLOOKUP(A70,[1]NPL!$A$5:$H$119,2,FALSE)</f>
        <v>473106.7</v>
      </c>
      <c r="I70" s="44">
        <f t="shared" si="31"/>
        <v>0.0239902189890241</v>
      </c>
      <c r="J70" s="43">
        <f>VLOOKUP(A70,[1]PAR!$A$5:$H$120,2,FALSE)</f>
        <v>1172045.62</v>
      </c>
      <c r="K70" s="44">
        <f t="shared" si="32"/>
        <v>0.0594319021246719</v>
      </c>
      <c r="L70" s="43">
        <f>VLOOKUP(A70,[1]ticket_pivot!$A$6:$V$127,5,FALSE)</f>
        <v>9096342.8</v>
      </c>
      <c r="M70" s="43">
        <f>VLOOKUP(A70,[1]ticket_pivot!$A$6:$V$127,6,FALSE)</f>
        <v>6886389.5</v>
      </c>
      <c r="N70" s="44">
        <f t="shared" si="33"/>
        <v>0.757050349949432</v>
      </c>
      <c r="O70" s="43">
        <f>VLOOKUP(A70,[1]ticket_pivot!$A$6:$V$127,7,FALSE)</f>
        <v>6667258.83</v>
      </c>
      <c r="P70" s="44">
        <f t="shared" si="34"/>
        <v>0.968179164132381</v>
      </c>
      <c r="Q70" s="43">
        <f>VLOOKUP(A70,[1]Sheet12!$A$5:$G$125,3,FALSE)</f>
        <v>39520529.03</v>
      </c>
      <c r="R70" s="43">
        <f>VLOOKUP(A70,[1]NPL!$A$5:$H$119,3,FALSE)</f>
        <v>1947525.24</v>
      </c>
      <c r="S70" s="44">
        <f t="shared" si="35"/>
        <v>0.0492788251524071</v>
      </c>
      <c r="T70" s="43">
        <f>VLOOKUP(A70,[1]PAR!$A$5:$H$120,3,FALSE)</f>
        <v>3879746.52</v>
      </c>
    </row>
    <row r="71" spans="1:20">
      <c r="A71" s="40" t="s">
        <v>82</v>
      </c>
      <c r="B71" s="43">
        <f>VLOOKUP(A71,[1]ticket_pivot!$A$6:$V$127,2,FALSE)</f>
        <v>3862400.35</v>
      </c>
      <c r="C71" s="43">
        <f>VLOOKUP(A71,[1]ticket_pivot!$A$6:$V$127,3,FALSE)</f>
        <v>685428.21</v>
      </c>
      <c r="D71" s="44">
        <f t="shared" si="29"/>
        <v>0.177461720145091</v>
      </c>
      <c r="E71" s="43">
        <f>VLOOKUP(A71,[1]ticket_pivot!$A$6:$V$127,4,FALSE)</f>
        <v>684637.21</v>
      </c>
      <c r="F71" s="44">
        <f t="shared" si="30"/>
        <v>0.998845976882101</v>
      </c>
      <c r="G71" s="43">
        <f>VLOOKUP(A71,[1]Sheet12!$A$5:$G$125,2,FALSE)</f>
        <v>10882700.17</v>
      </c>
      <c r="H71" s="43">
        <f>VLOOKUP(A71,[1]NPL!$A$5:$H$119,2,FALSE)</f>
        <v>3339052.98</v>
      </c>
      <c r="I71" s="44">
        <f t="shared" si="31"/>
        <v>0.306822105528981</v>
      </c>
      <c r="J71" s="43">
        <f>VLOOKUP(A71,[1]PAR!$A$5:$H$120,2,FALSE)</f>
        <v>3522649.7</v>
      </c>
      <c r="K71" s="44">
        <f t="shared" si="32"/>
        <v>0.323692617178849</v>
      </c>
      <c r="L71" s="43">
        <f>VLOOKUP(A71,[1]ticket_pivot!$A$6:$V$127,5,FALSE)</f>
        <v>9376415.36</v>
      </c>
      <c r="M71" s="43">
        <f>VLOOKUP(A71,[1]ticket_pivot!$A$6:$V$127,6,FALSE)</f>
        <v>4681442.66</v>
      </c>
      <c r="N71" s="44">
        <f t="shared" si="33"/>
        <v>0.499278506791747</v>
      </c>
      <c r="O71" s="43">
        <f>VLOOKUP(A71,[1]ticket_pivot!$A$6:$V$127,7,FALSE)</f>
        <v>4451955.63</v>
      </c>
      <c r="P71" s="44">
        <f t="shared" si="34"/>
        <v>0.950979420946277</v>
      </c>
      <c r="Q71" s="43">
        <f>VLOOKUP(A71,[1]Sheet12!$A$5:$G$125,3,FALSE)</f>
        <v>43390848.09</v>
      </c>
      <c r="R71" s="43">
        <f>VLOOKUP(A71,[1]NPL!$A$5:$H$119,3,FALSE)</f>
        <v>5742304.82</v>
      </c>
      <c r="S71" s="44">
        <f t="shared" si="35"/>
        <v>0.132339077772564</v>
      </c>
      <c r="T71" s="43">
        <f>VLOOKUP(A71,[1]PAR!$A$5:$H$120,3,FALSE)</f>
        <v>6778227.9</v>
      </c>
    </row>
    <row r="72" spans="1:20">
      <c r="A72" s="45" t="s">
        <v>83</v>
      </c>
      <c r="B72" s="46">
        <f>SUM(B68:B71)</f>
        <v>12370023.84</v>
      </c>
      <c r="C72" s="46">
        <f t="shared" ref="C72:T72" si="36">SUM(C68:C71)</f>
        <v>4944276</v>
      </c>
      <c r="D72" s="47">
        <f t="shared" si="29"/>
        <v>0.399698178754682</v>
      </c>
      <c r="E72" s="46">
        <f t="shared" si="36"/>
        <v>4814928.82</v>
      </c>
      <c r="F72" s="47">
        <f t="shared" si="30"/>
        <v>0.973839004942281</v>
      </c>
      <c r="G72" s="46">
        <f t="shared" si="36"/>
        <v>64546059.78</v>
      </c>
      <c r="H72" s="46">
        <f t="shared" si="36"/>
        <v>6667766.21</v>
      </c>
      <c r="I72" s="47">
        <f t="shared" si="31"/>
        <v>0.103302451500937</v>
      </c>
      <c r="J72" s="46">
        <f t="shared" si="36"/>
        <v>10029761.28</v>
      </c>
      <c r="K72" s="47">
        <f t="shared" si="32"/>
        <v>0.155389210653379</v>
      </c>
      <c r="L72" s="46">
        <f t="shared" si="36"/>
        <v>36159781.57</v>
      </c>
      <c r="M72" s="46">
        <f t="shared" si="36"/>
        <v>24410907.72</v>
      </c>
      <c r="N72" s="47">
        <f t="shared" si="33"/>
        <v>0.67508449056154</v>
      </c>
      <c r="O72" s="46">
        <f t="shared" si="36"/>
        <v>23437982.67</v>
      </c>
      <c r="P72" s="47">
        <f t="shared" si="34"/>
        <v>0.96014383974739</v>
      </c>
      <c r="Q72" s="46">
        <f t="shared" si="36"/>
        <v>187603782.28</v>
      </c>
      <c r="R72" s="46">
        <f t="shared" si="36"/>
        <v>10121007.63</v>
      </c>
      <c r="S72" s="47">
        <f t="shared" si="35"/>
        <v>0.0539488463771712</v>
      </c>
      <c r="T72" s="46">
        <f t="shared" si="36"/>
        <v>18352398.94</v>
      </c>
    </row>
    <row r="73" spans="1:20">
      <c r="A73" s="40" t="s">
        <v>84</v>
      </c>
      <c r="B73" s="43">
        <f>VLOOKUP(A73,[1]ticket_pivot!$A$6:$V$127,2,FALSE)</f>
        <v>2635416.74</v>
      </c>
      <c r="C73" s="43">
        <f>VLOOKUP(A73,[1]ticket_pivot!$A$6:$V$127,3,FALSE)</f>
        <v>2121363.72</v>
      </c>
      <c r="D73" s="44">
        <f t="shared" si="29"/>
        <v>0.804944314044237</v>
      </c>
      <c r="E73" s="43">
        <f>VLOOKUP(A73,[1]ticket_pivot!$A$6:$V$127,4,FALSE)</f>
        <v>2120063.79</v>
      </c>
      <c r="F73" s="44">
        <f t="shared" si="30"/>
        <v>0.999387219651329</v>
      </c>
      <c r="G73" s="43">
        <f>VLOOKUP(A73,[1]Sheet12!$A$5:$G$125,2,FALSE)</f>
        <v>22227874.76</v>
      </c>
      <c r="H73" s="43">
        <f>VLOOKUP(A73,[1]NPL!$A$5:$H$119,2,FALSE)</f>
        <v>332835.03</v>
      </c>
      <c r="I73" s="44">
        <f t="shared" si="31"/>
        <v>0.0149737675595937</v>
      </c>
      <c r="J73" s="43">
        <f>VLOOKUP(A73,[1]PAR!$A$5:$H$120,2,FALSE)</f>
        <v>332835.03</v>
      </c>
      <c r="K73" s="44">
        <f t="shared" si="32"/>
        <v>0.0149737675595937</v>
      </c>
      <c r="L73" s="43">
        <f>VLOOKUP(A73,[1]ticket_pivot!$A$6:$V$127,5,FALSE)</f>
        <v>10423355.43</v>
      </c>
      <c r="M73" s="43">
        <f>VLOOKUP(A73,[1]ticket_pivot!$A$6:$V$127,6,FALSE)</f>
        <v>9432943.05</v>
      </c>
      <c r="N73" s="44">
        <f t="shared" si="33"/>
        <v>0.904981424969023</v>
      </c>
      <c r="O73" s="43">
        <f>VLOOKUP(A73,[1]ticket_pivot!$A$6:$V$127,7,FALSE)</f>
        <v>9098584.48</v>
      </c>
      <c r="P73" s="44">
        <f t="shared" si="34"/>
        <v>0.964554162128648</v>
      </c>
      <c r="Q73" s="43">
        <f>VLOOKUP(A73,[1]Sheet12!$A$5:$G$125,3,FALSE)</f>
        <v>28980539.45</v>
      </c>
      <c r="R73" s="43">
        <f>VLOOKUP(A73,[1]NPL!$A$5:$H$119,3,FALSE)</f>
        <v>1152489.71</v>
      </c>
      <c r="S73" s="44">
        <f t="shared" si="35"/>
        <v>0.0397677107421822</v>
      </c>
      <c r="T73" s="43">
        <f>VLOOKUP(A73,[1]PAR!$A$5:$H$120,3,FALSE)</f>
        <v>1453689.17</v>
      </c>
    </row>
    <row r="74" spans="1:20">
      <c r="A74" s="40" t="s">
        <v>85</v>
      </c>
      <c r="B74" s="43">
        <f>VLOOKUP(A74,[1]ticket_pivot!$A$6:$V$127,2,FALSE)</f>
        <v>1990089.84</v>
      </c>
      <c r="C74" s="43">
        <f>VLOOKUP(A74,[1]ticket_pivot!$A$6:$V$127,3,FALSE)</f>
        <v>1166043.1</v>
      </c>
      <c r="D74" s="44">
        <f t="shared" si="29"/>
        <v>0.585924854528175</v>
      </c>
      <c r="E74" s="43">
        <f>VLOOKUP(A74,[1]ticket_pivot!$A$6:$V$127,4,FALSE)</f>
        <v>1119056.71</v>
      </c>
      <c r="F74" s="44">
        <f t="shared" si="30"/>
        <v>0.959704414013513</v>
      </c>
      <c r="G74" s="43">
        <f>VLOOKUP(A74,[1]Sheet12!$A$5:$G$125,2,FALSE)</f>
        <v>14990510.68</v>
      </c>
      <c r="H74" s="43">
        <f>VLOOKUP(A74,[1]NPL!$A$5:$H$119,2,FALSE)</f>
        <v>1051278.65</v>
      </c>
      <c r="I74" s="44">
        <f t="shared" si="31"/>
        <v>0.0701296088199712</v>
      </c>
      <c r="J74" s="43">
        <f>VLOOKUP(A74,[1]PAR!$A$5:$H$120,2,FALSE)</f>
        <v>2031663.1</v>
      </c>
      <c r="K74" s="44">
        <f t="shared" si="32"/>
        <v>0.135529945801686</v>
      </c>
      <c r="L74" s="43">
        <f>VLOOKUP(A74,[1]ticket_pivot!$A$6:$V$127,5,FALSE)</f>
        <v>17911837.74</v>
      </c>
      <c r="M74" s="43">
        <f>VLOOKUP(A74,[1]ticket_pivot!$A$6:$V$127,6,FALSE)</f>
        <v>12711093.87</v>
      </c>
      <c r="N74" s="44">
        <f t="shared" si="33"/>
        <v>0.709647667342034</v>
      </c>
      <c r="O74" s="43">
        <f>VLOOKUP(A74,[1]ticket_pivot!$A$6:$V$127,7,FALSE)</f>
        <v>12302385.74</v>
      </c>
      <c r="P74" s="44">
        <f t="shared" si="34"/>
        <v>0.967846344761514</v>
      </c>
      <c r="Q74" s="43">
        <f>VLOOKUP(A74,[1]Sheet12!$A$5:$G$125,3,FALSE)</f>
        <v>68349228.57</v>
      </c>
      <c r="R74" s="43">
        <f>VLOOKUP(A74,[1]NPL!$A$5:$H$119,3,FALSE)</f>
        <v>5785101.44</v>
      </c>
      <c r="S74" s="44">
        <f t="shared" si="35"/>
        <v>0.0846403326129011</v>
      </c>
      <c r="T74" s="43">
        <f>VLOOKUP(A74,[1]PAR!$A$5:$H$120,3,FALSE)</f>
        <v>7465646.05</v>
      </c>
    </row>
    <row r="75" spans="1:20">
      <c r="A75" s="45" t="s">
        <v>86</v>
      </c>
      <c r="B75" s="46">
        <f>SUM(B73:B74)</f>
        <v>4625506.58</v>
      </c>
      <c r="C75" s="46">
        <f t="shared" ref="C75:T75" si="37">SUM(C73:C74)</f>
        <v>3287406.82</v>
      </c>
      <c r="D75" s="47">
        <f t="shared" si="29"/>
        <v>0.710712818832483</v>
      </c>
      <c r="E75" s="46">
        <f t="shared" si="37"/>
        <v>3239120.5</v>
      </c>
      <c r="F75" s="47">
        <f t="shared" si="30"/>
        <v>0.985311729687292</v>
      </c>
      <c r="G75" s="46">
        <f t="shared" si="37"/>
        <v>37218385.44</v>
      </c>
      <c r="H75" s="46">
        <f t="shared" si="37"/>
        <v>1384113.68</v>
      </c>
      <c r="I75" s="47">
        <f t="shared" si="31"/>
        <v>0.0371889769971709</v>
      </c>
      <c r="J75" s="46">
        <f t="shared" si="37"/>
        <v>2364498.13</v>
      </c>
      <c r="K75" s="47">
        <f t="shared" si="32"/>
        <v>0.06353037892554</v>
      </c>
      <c r="L75" s="46">
        <f t="shared" si="37"/>
        <v>28335193.17</v>
      </c>
      <c r="M75" s="46">
        <f t="shared" si="37"/>
        <v>22144036.92</v>
      </c>
      <c r="N75" s="47">
        <f t="shared" si="33"/>
        <v>0.781502945370603</v>
      </c>
      <c r="O75" s="46">
        <f t="shared" si="37"/>
        <v>21400970.22</v>
      </c>
      <c r="P75" s="47">
        <f t="shared" si="34"/>
        <v>0.966443936907959</v>
      </c>
      <c r="Q75" s="46">
        <f t="shared" si="37"/>
        <v>97329768.02</v>
      </c>
      <c r="R75" s="46">
        <f t="shared" si="37"/>
        <v>6937591.15</v>
      </c>
      <c r="S75" s="47">
        <f t="shared" si="35"/>
        <v>0.0712792323575087</v>
      </c>
      <c r="T75" s="46">
        <f t="shared" si="37"/>
        <v>8919335.22</v>
      </c>
    </row>
    <row r="76" spans="1:20">
      <c r="A76" s="48" t="s">
        <v>87</v>
      </c>
      <c r="B76" s="49">
        <f>SUM(B75,B72)</f>
        <v>16995530.42</v>
      </c>
      <c r="C76" s="49">
        <f t="shared" ref="C76:T76" si="38">SUM(C75,C72)</f>
        <v>8231682.82</v>
      </c>
      <c r="D76" s="50">
        <f t="shared" si="29"/>
        <v>0.484343978479961</v>
      </c>
      <c r="E76" s="49">
        <f t="shared" si="38"/>
        <v>8054049.32</v>
      </c>
      <c r="F76" s="50">
        <f t="shared" si="30"/>
        <v>0.978420755040705</v>
      </c>
      <c r="G76" s="49">
        <f t="shared" si="38"/>
        <v>101764445.22</v>
      </c>
      <c r="H76" s="49">
        <f t="shared" si="38"/>
        <v>8051879.89</v>
      </c>
      <c r="I76" s="50">
        <f t="shared" si="31"/>
        <v>0.0791227218169666</v>
      </c>
      <c r="J76" s="49">
        <f t="shared" si="38"/>
        <v>12394259.41</v>
      </c>
      <c r="K76" s="50">
        <f t="shared" si="32"/>
        <v>0.121793612525528</v>
      </c>
      <c r="L76" s="49">
        <f t="shared" si="38"/>
        <v>64494974.74</v>
      </c>
      <c r="M76" s="49">
        <f t="shared" si="38"/>
        <v>46554944.64</v>
      </c>
      <c r="N76" s="50">
        <f t="shared" si="33"/>
        <v>0.721838326593319</v>
      </c>
      <c r="O76" s="49">
        <f t="shared" si="38"/>
        <v>44838952.89</v>
      </c>
      <c r="P76" s="50">
        <f t="shared" si="34"/>
        <v>0.963140504982459</v>
      </c>
      <c r="Q76" s="49">
        <f t="shared" si="38"/>
        <v>284933550.3</v>
      </c>
      <c r="R76" s="49">
        <f t="shared" si="38"/>
        <v>17058598.78</v>
      </c>
      <c r="S76" s="50">
        <f t="shared" si="35"/>
        <v>0.0598686913564211</v>
      </c>
      <c r="T76" s="49">
        <f t="shared" si="38"/>
        <v>27271734.16</v>
      </c>
    </row>
    <row r="77" spans="1:20">
      <c r="A77" s="51" t="s">
        <v>88</v>
      </c>
      <c r="B77" s="52">
        <f>SUM(B76,B67,B62)</f>
        <v>24074295.9</v>
      </c>
      <c r="C77" s="52">
        <f t="shared" ref="C77:T77" si="39">SUM(C76,C67,C62)</f>
        <v>10882863.57</v>
      </c>
      <c r="D77" s="53">
        <f t="shared" si="29"/>
        <v>0.452053244473081</v>
      </c>
      <c r="E77" s="52">
        <f t="shared" si="39"/>
        <v>10682319.06</v>
      </c>
      <c r="F77" s="53">
        <f t="shared" si="30"/>
        <v>0.98157245023701</v>
      </c>
      <c r="G77" s="52">
        <f t="shared" si="39"/>
        <v>149069678.21</v>
      </c>
      <c r="H77" s="52">
        <f t="shared" si="39"/>
        <v>11740258.16</v>
      </c>
      <c r="I77" s="53">
        <f t="shared" si="31"/>
        <v>0.0787568491525222</v>
      </c>
      <c r="J77" s="52">
        <f t="shared" si="39"/>
        <v>19972874.64</v>
      </c>
      <c r="K77" s="53">
        <f t="shared" si="32"/>
        <v>0.133983482622559</v>
      </c>
      <c r="L77" s="52">
        <f t="shared" si="39"/>
        <v>166027055.6</v>
      </c>
      <c r="M77" s="52">
        <f t="shared" si="39"/>
        <v>117401461.53</v>
      </c>
      <c r="N77" s="53">
        <f t="shared" si="33"/>
        <v>0.707122469321199</v>
      </c>
      <c r="O77" s="52">
        <f t="shared" si="39"/>
        <v>113016660.25</v>
      </c>
      <c r="P77" s="53">
        <f t="shared" si="34"/>
        <v>0.962651220667474</v>
      </c>
      <c r="Q77" s="52">
        <f t="shared" si="39"/>
        <v>753056883.83</v>
      </c>
      <c r="R77" s="52">
        <f t="shared" si="39"/>
        <v>45872912.4</v>
      </c>
      <c r="S77" s="53">
        <f t="shared" si="35"/>
        <v>0.0609156006471825</v>
      </c>
      <c r="T77" s="52">
        <f t="shared" si="39"/>
        <v>83070060.99</v>
      </c>
    </row>
    <row r="78" spans="1:20">
      <c r="A78" s="40" t="s">
        <v>89</v>
      </c>
      <c r="B78" s="43">
        <f>VLOOKUP(A78,[1]ticket_pivot!$A$6:$V$127,2,FALSE)</f>
        <v>729323.6</v>
      </c>
      <c r="C78" s="43">
        <f>VLOOKUP(A78,[1]ticket_pivot!$A$6:$V$127,3,FALSE)</f>
        <v>439069.31</v>
      </c>
      <c r="D78" s="44">
        <f t="shared" si="29"/>
        <v>0.602022627541464</v>
      </c>
      <c r="E78" s="43">
        <f>VLOOKUP(A78,[1]ticket_pivot!$A$6:$V$127,4,FALSE)</f>
        <v>415946.08</v>
      </c>
      <c r="F78" s="44">
        <f t="shared" si="30"/>
        <v>0.947335809009288</v>
      </c>
      <c r="G78" s="43">
        <f>VLOOKUP(A78,[1]Sheet12!$A$5:$G$125,2,FALSE)</f>
        <v>3347535.29</v>
      </c>
      <c r="H78" s="43">
        <f>VLOOKUP(A78,[1]NPL!$A$5:$H$119,2,FALSE)</f>
        <v>708510.67</v>
      </c>
      <c r="I78" s="44">
        <f t="shared" si="31"/>
        <v>0.211651441619306</v>
      </c>
      <c r="J78" s="43">
        <f>VLOOKUP(A78,[1]PAR!$A$5:$H$120,2,FALSE)</f>
        <v>836851.59</v>
      </c>
      <c r="K78" s="44">
        <f t="shared" si="32"/>
        <v>0.249990371274025</v>
      </c>
      <c r="L78" s="43">
        <f>VLOOKUP(A78,[1]ticket_pivot!$A$6:$V$127,5,FALSE)</f>
        <v>6999849.45</v>
      </c>
      <c r="M78" s="43">
        <f>VLOOKUP(A78,[1]ticket_pivot!$A$6:$V$127,6,FALSE)</f>
        <v>5504757.44</v>
      </c>
      <c r="N78" s="44">
        <f t="shared" si="33"/>
        <v>0.786410833450139</v>
      </c>
      <c r="O78" s="43">
        <f>VLOOKUP(A78,[1]ticket_pivot!$A$6:$V$127,7,FALSE)</f>
        <v>5371162.89</v>
      </c>
      <c r="P78" s="44">
        <f t="shared" si="34"/>
        <v>0.975731074174269</v>
      </c>
      <c r="Q78" s="43">
        <f>VLOOKUP(A78,[1]Sheet12!$A$5:$G$125,3,FALSE)</f>
        <v>83207772.93</v>
      </c>
      <c r="R78" s="43">
        <f>VLOOKUP(A78,[1]NPL!$A$5:$H$119,3,FALSE)</f>
        <v>867981.76</v>
      </c>
      <c r="S78" s="44">
        <f t="shared" si="35"/>
        <v>0.0104314985179354</v>
      </c>
      <c r="T78" s="43">
        <f>VLOOKUP(A78,[1]PAR!$A$5:$H$120,3,FALSE)</f>
        <v>1701041.72</v>
      </c>
    </row>
    <row r="79" spans="1:20">
      <c r="A79" s="40" t="s">
        <v>90</v>
      </c>
      <c r="B79" s="43">
        <f>VLOOKUP(A79,[1]ticket_pivot!$A$6:$V$127,2,FALSE)</f>
        <v>689073.78</v>
      </c>
      <c r="C79" s="43">
        <f>VLOOKUP(A79,[1]ticket_pivot!$A$6:$V$127,3,FALSE)</f>
        <v>443859.67</v>
      </c>
      <c r="D79" s="44">
        <f t="shared" si="29"/>
        <v>0.644139543373715</v>
      </c>
      <c r="E79" s="43">
        <f>VLOOKUP(A79,[1]ticket_pivot!$A$6:$V$127,4,FALSE)</f>
        <v>443538.94</v>
      </c>
      <c r="F79" s="44">
        <f t="shared" si="30"/>
        <v>0.999277406753355</v>
      </c>
      <c r="G79" s="43">
        <f>VLOOKUP(A79,[1]Sheet12!$A$5:$G$125,2,FALSE)</f>
        <v>5159248.5</v>
      </c>
      <c r="H79" s="43">
        <f>VLOOKUP(A79,[1]NPL!$A$5:$H$119,2,FALSE)</f>
        <v>0</v>
      </c>
      <c r="I79" s="44">
        <f t="shared" si="31"/>
        <v>0</v>
      </c>
      <c r="J79" s="43">
        <f>VLOOKUP(A79,[1]PAR!$A$5:$H$120,2,FALSE)</f>
        <v>588759.32</v>
      </c>
      <c r="K79" s="44">
        <f t="shared" si="32"/>
        <v>0.114117263396016</v>
      </c>
      <c r="L79" s="43">
        <f>VLOOKUP(A79,[1]ticket_pivot!$A$6:$V$127,5,FALSE)</f>
        <v>7266751.22</v>
      </c>
      <c r="M79" s="43">
        <f>VLOOKUP(A79,[1]ticket_pivot!$A$6:$V$127,6,FALSE)</f>
        <v>4774273.3</v>
      </c>
      <c r="N79" s="44">
        <f t="shared" si="33"/>
        <v>0.657002442420205</v>
      </c>
      <c r="O79" s="43">
        <f>VLOOKUP(A79,[1]ticket_pivot!$A$6:$V$127,7,FALSE)</f>
        <v>4768915.99</v>
      </c>
      <c r="P79" s="44">
        <f t="shared" si="34"/>
        <v>0.998877879487963</v>
      </c>
      <c r="Q79" s="43">
        <f>VLOOKUP(A79,[1]Sheet12!$A$5:$G$125,3,FALSE)</f>
        <v>71541790.64</v>
      </c>
      <c r="R79" s="43">
        <f>VLOOKUP(A79,[1]NPL!$A$5:$H$119,3,FALSE)</f>
        <v>2281102.21</v>
      </c>
      <c r="S79" s="44">
        <f t="shared" si="35"/>
        <v>0.0318848911886838</v>
      </c>
      <c r="T79" s="43">
        <f>VLOOKUP(A79,[1]PAR!$A$5:$H$120,3,FALSE)</f>
        <v>3475308.59</v>
      </c>
    </row>
    <row r="80" spans="1:20">
      <c r="A80" s="40" t="s">
        <v>91</v>
      </c>
      <c r="B80" s="43">
        <f>VLOOKUP(A80,[1]ticket_pivot!$A$6:$V$127,2,FALSE)</f>
        <v>806225.51</v>
      </c>
      <c r="C80" s="43">
        <f>VLOOKUP(A80,[1]ticket_pivot!$A$6:$V$127,3,FALSE)</f>
        <v>276244.16</v>
      </c>
      <c r="D80" s="44">
        <f t="shared" si="29"/>
        <v>0.342638823224534</v>
      </c>
      <c r="E80" s="43">
        <f>VLOOKUP(A80,[1]ticket_pivot!$A$6:$V$127,4,FALSE)</f>
        <v>274914.9</v>
      </c>
      <c r="F80" s="44">
        <f t="shared" si="30"/>
        <v>0.995188097370095</v>
      </c>
      <c r="G80" s="43">
        <f>VLOOKUP(A80,[1]Sheet12!$A$5:$G$125,2,FALSE)</f>
        <v>2660244.62</v>
      </c>
      <c r="H80" s="43">
        <f>VLOOKUP(A80,[1]NPL!$A$5:$H$119,2,FALSE)</f>
        <v>0</v>
      </c>
      <c r="I80" s="44">
        <f t="shared" si="31"/>
        <v>0</v>
      </c>
      <c r="J80" s="43">
        <f>VLOOKUP(A80,[1]PAR!$A$5:$H$120,2,FALSE)</f>
        <v>0</v>
      </c>
      <c r="K80" s="44">
        <f t="shared" si="32"/>
        <v>0</v>
      </c>
      <c r="L80" s="43">
        <f>VLOOKUP(A80,[1]ticket_pivot!$A$6:$V$127,5,FALSE)</f>
        <v>32171365.83</v>
      </c>
      <c r="M80" s="43">
        <f>VLOOKUP(A80,[1]ticket_pivot!$A$6:$V$127,6,FALSE)</f>
        <v>18480328.56</v>
      </c>
      <c r="N80" s="44">
        <f t="shared" si="33"/>
        <v>0.574434068408963</v>
      </c>
      <c r="O80" s="43">
        <f>VLOOKUP(A80,[1]ticket_pivot!$A$6:$V$127,7,FALSE)</f>
        <v>17099090.68</v>
      </c>
      <c r="P80" s="44">
        <f t="shared" si="34"/>
        <v>0.925259019312587</v>
      </c>
      <c r="Q80" s="43">
        <f>VLOOKUP(A80,[1]Sheet12!$A$5:$G$125,3,FALSE)</f>
        <v>107478378.9</v>
      </c>
      <c r="R80" s="43">
        <f>VLOOKUP(A80,[1]NPL!$A$5:$H$119,3,FALSE)</f>
        <v>3141425.64</v>
      </c>
      <c r="S80" s="44">
        <f t="shared" si="35"/>
        <v>0.0292284427077454</v>
      </c>
      <c r="T80" s="43">
        <f>VLOOKUP(A80,[1]PAR!$A$5:$H$120,3,FALSE)</f>
        <v>3487515.3</v>
      </c>
    </row>
    <row r="81" spans="1:20">
      <c r="A81" s="40" t="s">
        <v>92</v>
      </c>
      <c r="B81" s="43">
        <f>VLOOKUP(A81,[1]ticket_pivot!$A$6:$V$127,2,FALSE)</f>
        <v>1081338.41</v>
      </c>
      <c r="C81" s="43">
        <f>VLOOKUP(A81,[1]ticket_pivot!$A$6:$V$127,3,FALSE)</f>
        <v>156236.72</v>
      </c>
      <c r="D81" s="44">
        <f t="shared" si="29"/>
        <v>0.144484574445108</v>
      </c>
      <c r="E81" s="43">
        <f>VLOOKUP(A81,[1]ticket_pivot!$A$6:$V$127,4,FALSE)</f>
        <v>147803.05</v>
      </c>
      <c r="F81" s="44">
        <f t="shared" si="30"/>
        <v>0.946019924125391</v>
      </c>
      <c r="G81" s="43">
        <f>VLOOKUP(A81,[1]Sheet12!$A$5:$G$125,2,FALSE)</f>
        <v>2848721.57</v>
      </c>
      <c r="H81" s="43">
        <f>VLOOKUP(A81,[1]NPL!$A$5:$H$119,2,FALSE)</f>
        <v>726145.73</v>
      </c>
      <c r="I81" s="44">
        <f t="shared" si="31"/>
        <v>0.254902317463058</v>
      </c>
      <c r="J81" s="43">
        <f>VLOOKUP(A81,[1]PAR!$A$5:$H$120,2,FALSE)</f>
        <v>1359317.76</v>
      </c>
      <c r="K81" s="44">
        <f t="shared" si="32"/>
        <v>0.477167644010924</v>
      </c>
      <c r="L81" s="43">
        <f>VLOOKUP(A81,[1]ticket_pivot!$A$6:$V$127,5,FALSE)</f>
        <v>19172343.87</v>
      </c>
      <c r="M81" s="43">
        <f>VLOOKUP(A81,[1]ticket_pivot!$A$6:$V$127,6,FALSE)</f>
        <v>14477779.11</v>
      </c>
      <c r="N81" s="44">
        <f t="shared" si="33"/>
        <v>0.755138714815884</v>
      </c>
      <c r="O81" s="43">
        <f>VLOOKUP(A81,[1]ticket_pivot!$A$6:$V$127,7,FALSE)</f>
        <v>12768089.37</v>
      </c>
      <c r="P81" s="44">
        <f t="shared" si="34"/>
        <v>0.881909391833511</v>
      </c>
      <c r="Q81" s="43">
        <f>VLOOKUP(A81,[1]Sheet12!$A$5:$G$125,3,FALSE)</f>
        <v>141782397.67</v>
      </c>
      <c r="R81" s="43">
        <f>VLOOKUP(A81,[1]NPL!$A$5:$H$119,3,FALSE)</f>
        <v>1626642.52</v>
      </c>
      <c r="S81" s="44">
        <f t="shared" si="35"/>
        <v>0.0114728100718541</v>
      </c>
      <c r="T81" s="43">
        <f>VLOOKUP(A81,[1]PAR!$A$5:$H$120,3,FALSE)</f>
        <v>7683295.22</v>
      </c>
    </row>
    <row r="82" spans="1:20">
      <c r="A82" s="45" t="s">
        <v>93</v>
      </c>
      <c r="B82" s="46">
        <f>SUM(B78:B81)</f>
        <v>3305961.3</v>
      </c>
      <c r="C82" s="46">
        <f t="shared" ref="C82:T82" si="40">SUM(C78:C81)</f>
        <v>1315409.86</v>
      </c>
      <c r="D82" s="47">
        <f t="shared" si="29"/>
        <v>0.397890277783954</v>
      </c>
      <c r="E82" s="46">
        <f t="shared" si="40"/>
        <v>1282202.97</v>
      </c>
      <c r="F82" s="47">
        <f t="shared" si="30"/>
        <v>0.974755480394529</v>
      </c>
      <c r="G82" s="46">
        <f>SUM(G78:G81)</f>
        <v>14015749.98</v>
      </c>
      <c r="H82" s="46">
        <f t="shared" si="40"/>
        <v>1434656.4</v>
      </c>
      <c r="I82" s="47">
        <f t="shared" si="31"/>
        <v>0.102360301949393</v>
      </c>
      <c r="J82" s="46">
        <f t="shared" si="40"/>
        <v>2784928.67</v>
      </c>
      <c r="K82" s="47">
        <f t="shared" si="32"/>
        <v>0.198699939280738</v>
      </c>
      <c r="L82" s="46">
        <f t="shared" si="40"/>
        <v>65610310.37</v>
      </c>
      <c r="M82" s="46">
        <f t="shared" si="40"/>
        <v>43237138.41</v>
      </c>
      <c r="N82" s="47">
        <f t="shared" si="33"/>
        <v>0.658999144588256</v>
      </c>
      <c r="O82" s="46">
        <f t="shared" si="40"/>
        <v>40007258.93</v>
      </c>
      <c r="P82" s="47">
        <f t="shared" si="34"/>
        <v>0.925298491094106</v>
      </c>
      <c r="Q82" s="46">
        <f t="shared" si="40"/>
        <v>404010340.14</v>
      </c>
      <c r="R82" s="46">
        <f t="shared" si="40"/>
        <v>7917152.13</v>
      </c>
      <c r="S82" s="47">
        <f t="shared" si="35"/>
        <v>0.0195964096544076</v>
      </c>
      <c r="T82" s="46">
        <f t="shared" si="40"/>
        <v>16347160.83</v>
      </c>
    </row>
    <row r="83" spans="1:20">
      <c r="A83" s="40" t="s">
        <v>94</v>
      </c>
      <c r="B83" s="43">
        <f>VLOOKUP(A83,[1]ticket_pivot!$A$6:$V$127,2,FALSE)</f>
        <v>186519.52</v>
      </c>
      <c r="C83" s="43">
        <f>VLOOKUP(A83,[1]ticket_pivot!$A$6:$V$127,3,FALSE)</f>
        <v>144852.86</v>
      </c>
      <c r="D83" s="44">
        <f t="shared" si="29"/>
        <v>0.776609654581998</v>
      </c>
      <c r="E83" s="43">
        <f>VLOOKUP(A83,[1]ticket_pivot!$A$6:$V$127,4,FALSE)</f>
        <v>144852.86</v>
      </c>
      <c r="F83" s="44">
        <f t="shared" si="30"/>
        <v>1</v>
      </c>
      <c r="G83" s="43">
        <f>VLOOKUP(A83,[1]Sheet12!$A$5:$G$125,2,FALSE)</f>
        <v>1527135.38</v>
      </c>
      <c r="H83" s="43">
        <f>VLOOKUP(A83,[1]NPL!$A$5:$H$119,2,FALSE)</f>
        <v>0</v>
      </c>
      <c r="I83" s="44">
        <f t="shared" si="31"/>
        <v>0</v>
      </c>
      <c r="J83" s="43">
        <f>VLOOKUP(A83,[1]PAR!$A$5:$H$120,2,FALSE)</f>
        <v>0</v>
      </c>
      <c r="K83" s="44">
        <f t="shared" si="32"/>
        <v>0</v>
      </c>
      <c r="L83" s="43">
        <f>VLOOKUP(A83,[1]ticket_pivot!$A$6:$V$127,5,FALSE)</f>
        <v>7646300.52</v>
      </c>
      <c r="M83" s="43">
        <f>VLOOKUP(A83,[1]ticket_pivot!$A$6:$V$127,6,FALSE)</f>
        <v>3866697.14</v>
      </c>
      <c r="N83" s="44">
        <f t="shared" si="33"/>
        <v>0.505695156747514</v>
      </c>
      <c r="O83" s="43">
        <f>VLOOKUP(A83,[1]ticket_pivot!$A$6:$V$127,7,FALSE)</f>
        <v>3768954.78</v>
      </c>
      <c r="P83" s="44">
        <f t="shared" si="34"/>
        <v>0.974722002665044</v>
      </c>
      <c r="Q83" s="43">
        <f>VLOOKUP(A83,[1]Sheet12!$A$5:$G$125,3,FALSE)</f>
        <v>80715960.68</v>
      </c>
      <c r="R83" s="43">
        <f>VLOOKUP(A83,[1]NPL!$A$5:$H$119,3,FALSE)</f>
        <v>576065.07</v>
      </c>
      <c r="S83" s="44">
        <f t="shared" si="35"/>
        <v>0.00713694125854267</v>
      </c>
      <c r="T83" s="43">
        <f>VLOOKUP(A83,[1]PAR!$A$5:$H$120,3,FALSE)</f>
        <v>722536.1</v>
      </c>
    </row>
    <row r="84" spans="1:20">
      <c r="A84" s="40" t="s">
        <v>95</v>
      </c>
      <c r="B84" s="43">
        <f>VLOOKUP(A84,[1]ticket_pivot!$A$6:$V$127,2,FALSE)</f>
        <v>1180356.59</v>
      </c>
      <c r="C84" s="43">
        <f>VLOOKUP(A84,[1]ticket_pivot!$A$6:$V$127,3,FALSE)</f>
        <v>38789.32</v>
      </c>
      <c r="D84" s="44">
        <f t="shared" si="29"/>
        <v>0.0328623742423465</v>
      </c>
      <c r="E84" s="43">
        <f>VLOOKUP(A84,[1]ticket_pivot!$A$6:$V$127,4,FALSE)</f>
        <v>38789.32</v>
      </c>
      <c r="F84" s="44">
        <f t="shared" si="30"/>
        <v>1</v>
      </c>
      <c r="G84" s="43">
        <f>VLOOKUP(A84,[1]Sheet12!$A$5:$G$125,2,FALSE)</f>
        <v>2267935.58</v>
      </c>
      <c r="H84" s="43">
        <f>VLOOKUP(A84,[1]NPL!$A$5:$H$119,2,FALSE)</f>
        <v>963554.78</v>
      </c>
      <c r="I84" s="44">
        <f t="shared" si="31"/>
        <v>0.424859854264467</v>
      </c>
      <c r="J84" s="43">
        <f>VLOOKUP(A84,[1]PAR!$A$5:$H$120,2,FALSE)</f>
        <v>1195862.99</v>
      </c>
      <c r="K84" s="44">
        <f t="shared" si="32"/>
        <v>0.52729142773976</v>
      </c>
      <c r="L84" s="43">
        <f>VLOOKUP(A84,[1]ticket_pivot!$A$6:$V$127,5,FALSE)</f>
        <v>10793165.25</v>
      </c>
      <c r="M84" s="43">
        <f>VLOOKUP(A84,[1]ticket_pivot!$A$6:$V$127,6,FALSE)</f>
        <v>8259406.37</v>
      </c>
      <c r="N84" s="44">
        <f t="shared" si="33"/>
        <v>0.76524413169714</v>
      </c>
      <c r="O84" s="43">
        <f>VLOOKUP(A84,[1]ticket_pivot!$A$6:$V$127,7,FALSE)</f>
        <v>8188062.52</v>
      </c>
      <c r="P84" s="44">
        <f t="shared" si="34"/>
        <v>0.991362109235945</v>
      </c>
      <c r="Q84" s="43">
        <f>VLOOKUP(A84,[1]Sheet12!$A$5:$G$125,3,FALSE)</f>
        <v>55091603.32</v>
      </c>
      <c r="R84" s="43">
        <f>VLOOKUP(A84,[1]NPL!$A$5:$H$119,3,FALSE)</f>
        <v>362300.23</v>
      </c>
      <c r="S84" s="44">
        <f t="shared" si="35"/>
        <v>0.00657632394351597</v>
      </c>
      <c r="T84" s="43">
        <f>VLOOKUP(A84,[1]PAR!$A$5:$H$120,3,FALSE)</f>
        <v>362300.23</v>
      </c>
    </row>
    <row r="85" spans="1:20">
      <c r="A85" s="45" t="s">
        <v>96</v>
      </c>
      <c r="B85" s="46">
        <f>SUM(B83:B84)</f>
        <v>1366876.11</v>
      </c>
      <c r="C85" s="46">
        <f t="shared" ref="C85:T85" si="41">SUM(C83:C84)</f>
        <v>183642.18</v>
      </c>
      <c r="D85" s="47">
        <f t="shared" si="29"/>
        <v>0.134351737261689</v>
      </c>
      <c r="E85" s="46">
        <f t="shared" si="41"/>
        <v>183642.18</v>
      </c>
      <c r="F85" s="47">
        <f t="shared" si="30"/>
        <v>1</v>
      </c>
      <c r="G85" s="46">
        <f t="shared" si="41"/>
        <v>3795070.96</v>
      </c>
      <c r="H85" s="46">
        <f t="shared" si="41"/>
        <v>963554.78</v>
      </c>
      <c r="I85" s="47">
        <f t="shared" si="31"/>
        <v>0.253896380372292</v>
      </c>
      <c r="J85" s="46">
        <f t="shared" si="41"/>
        <v>1195862.99</v>
      </c>
      <c r="K85" s="47">
        <f t="shared" si="32"/>
        <v>0.315109520376399</v>
      </c>
      <c r="L85" s="46">
        <f t="shared" si="41"/>
        <v>18439465.77</v>
      </c>
      <c r="M85" s="46">
        <f t="shared" si="41"/>
        <v>12126103.51</v>
      </c>
      <c r="N85" s="47">
        <f t="shared" si="33"/>
        <v>0.65761685621763</v>
      </c>
      <c r="O85" s="46">
        <f t="shared" si="41"/>
        <v>11957017.3</v>
      </c>
      <c r="P85" s="47">
        <f t="shared" si="34"/>
        <v>0.986056014624932</v>
      </c>
      <c r="Q85" s="46">
        <f t="shared" si="41"/>
        <v>135807564</v>
      </c>
      <c r="R85" s="46">
        <f t="shared" si="41"/>
        <v>938365.3</v>
      </c>
      <c r="S85" s="47">
        <f t="shared" si="35"/>
        <v>0.00690952162281624</v>
      </c>
      <c r="T85" s="46">
        <f t="shared" si="41"/>
        <v>1084836.33</v>
      </c>
    </row>
    <row r="86" spans="1:20">
      <c r="A86" s="40" t="s">
        <v>97</v>
      </c>
      <c r="B86" s="43">
        <f>VLOOKUP(A86,[1]ticket_pivot!$A$6:$V$127,2,FALSE)</f>
        <v>1882457.73</v>
      </c>
      <c r="C86" s="43">
        <f>VLOOKUP(A86,[1]ticket_pivot!$A$6:$V$127,3,FALSE)</f>
        <v>312784.84</v>
      </c>
      <c r="D86" s="44">
        <f t="shared" si="29"/>
        <v>0.166157696406814</v>
      </c>
      <c r="E86" s="43">
        <f>VLOOKUP(A86,[1]ticket_pivot!$A$6:$V$127,4,FALSE)</f>
        <v>269988.28</v>
      </c>
      <c r="F86" s="44">
        <f t="shared" si="30"/>
        <v>0.86317572168779</v>
      </c>
      <c r="G86" s="43">
        <f>VLOOKUP(A86,[1]Sheet12!$A$5:$G$125,2,FALSE)</f>
        <v>4327894.78</v>
      </c>
      <c r="H86" s="43">
        <f>VLOOKUP(A86,[1]NPL!$A$5:$H$119,2,FALSE)</f>
        <v>1518608.82</v>
      </c>
      <c r="I86" s="44">
        <f t="shared" si="31"/>
        <v>0.350888572203227</v>
      </c>
      <c r="J86" s="43">
        <f>VLOOKUP(A86,[1]PAR!$A$5:$H$120,2,FALSE)</f>
        <v>1518608.82</v>
      </c>
      <c r="K86" s="44">
        <f t="shared" si="32"/>
        <v>0.350888572203227</v>
      </c>
      <c r="L86" s="43">
        <f>VLOOKUP(A86,[1]ticket_pivot!$A$6:$V$127,5,FALSE)</f>
        <v>14464780.4</v>
      </c>
      <c r="M86" s="43">
        <f>VLOOKUP(A86,[1]ticket_pivot!$A$6:$V$127,6,FALSE)</f>
        <v>10121987.85</v>
      </c>
      <c r="N86" s="44">
        <f t="shared" si="33"/>
        <v>0.699767820187578</v>
      </c>
      <c r="O86" s="43">
        <f>VLOOKUP(A86,[1]ticket_pivot!$A$6:$V$127,7,FALSE)</f>
        <v>9971439.55</v>
      </c>
      <c r="P86" s="44">
        <f t="shared" si="34"/>
        <v>0.98512660731953</v>
      </c>
      <c r="Q86" s="43">
        <f>VLOOKUP(A86,[1]Sheet12!$A$5:$G$125,3,FALSE)</f>
        <v>114175640.38</v>
      </c>
      <c r="R86" s="43">
        <f>VLOOKUP(A86,[1]NPL!$A$5:$H$119,3,FALSE)</f>
        <v>4984428.1</v>
      </c>
      <c r="S86" s="44">
        <f t="shared" si="35"/>
        <v>0.0436557928066862</v>
      </c>
      <c r="T86" s="43">
        <f>VLOOKUP(A86,[1]PAR!$A$5:$H$120,3,FALSE)</f>
        <v>7527937.58</v>
      </c>
    </row>
    <row r="87" spans="1:20">
      <c r="A87" s="40" t="s">
        <v>98</v>
      </c>
      <c r="B87" s="43">
        <f>VLOOKUP(A87,[1]ticket_pivot!$A$6:$V$127,2,FALSE)</f>
        <v>355916.65</v>
      </c>
      <c r="C87" s="43">
        <f>VLOOKUP(A87,[1]ticket_pivot!$A$6:$V$127,3,FALSE)</f>
        <v>242456.43</v>
      </c>
      <c r="D87" s="44">
        <f t="shared" si="29"/>
        <v>0.681216880412872</v>
      </c>
      <c r="E87" s="43">
        <f>VLOOKUP(A87,[1]ticket_pivot!$A$6:$V$127,4,FALSE)</f>
        <v>242351.64</v>
      </c>
      <c r="F87" s="44">
        <f t="shared" si="30"/>
        <v>0.999567798634996</v>
      </c>
      <c r="G87" s="43">
        <f>VLOOKUP(A87,[1]Sheet12!$A$5:$G$125,2,FALSE)</f>
        <v>1903722.7</v>
      </c>
      <c r="H87" s="43">
        <f>VLOOKUP(A87,[1]NPL!$A$5:$H$119,2,FALSE)</f>
        <v>75560.22</v>
      </c>
      <c r="I87" s="44">
        <f t="shared" si="31"/>
        <v>0.0396907700895724</v>
      </c>
      <c r="J87" s="43">
        <f>VLOOKUP(A87,[1]PAR!$A$5:$H$120,2,FALSE)</f>
        <v>75560.22</v>
      </c>
      <c r="K87" s="44">
        <f t="shared" si="32"/>
        <v>0.0396907700895724</v>
      </c>
      <c r="L87" s="43">
        <f>VLOOKUP(A87,[1]ticket_pivot!$A$6:$V$127,5,FALSE)</f>
        <v>9838331.89</v>
      </c>
      <c r="M87" s="43">
        <f>VLOOKUP(A87,[1]ticket_pivot!$A$6:$V$127,6,FALSE)</f>
        <v>6964221.28</v>
      </c>
      <c r="N87" s="44">
        <f t="shared" si="33"/>
        <v>0.707866064884298</v>
      </c>
      <c r="O87" s="43">
        <f>VLOOKUP(A87,[1]ticket_pivot!$A$6:$V$127,7,FALSE)</f>
        <v>6905866.99</v>
      </c>
      <c r="P87" s="44">
        <f t="shared" si="34"/>
        <v>0.991620844936737</v>
      </c>
      <c r="Q87" s="43">
        <f>VLOOKUP(A87,[1]Sheet12!$A$5:$G$125,3,FALSE)</f>
        <v>44528534.35</v>
      </c>
      <c r="R87" s="43">
        <f>VLOOKUP(A87,[1]NPL!$A$5:$H$119,3,FALSE)</f>
        <v>1896899.44</v>
      </c>
      <c r="S87" s="44">
        <f t="shared" si="35"/>
        <v>0.0425996379106064</v>
      </c>
      <c r="T87" s="43">
        <f>VLOOKUP(A87,[1]PAR!$A$5:$H$120,3,FALSE)</f>
        <v>1990530.22</v>
      </c>
    </row>
    <row r="88" spans="1:20">
      <c r="A88" s="40" t="s">
        <v>99</v>
      </c>
      <c r="B88" s="43">
        <f>VLOOKUP(A88,[1]ticket_pivot!$A$6:$V$127,2,FALSE)</f>
        <v>0</v>
      </c>
      <c r="C88" s="43">
        <f>VLOOKUP(A88,[1]ticket_pivot!$A$6:$V$127,3,FALSE)</f>
        <v>0</v>
      </c>
      <c r="D88" s="44" t="str">
        <f t="shared" si="29"/>
        <v/>
      </c>
      <c r="E88" s="43">
        <f>VLOOKUP(A88,[1]ticket_pivot!$A$6:$V$127,4,FALSE)</f>
        <v>0</v>
      </c>
      <c r="F88" s="44" t="str">
        <f t="shared" si="30"/>
        <v/>
      </c>
      <c r="G88" s="43">
        <f>VLOOKUP(A88,[1]Sheet12!$A$5:$G$125,2,FALSE)</f>
        <v>0</v>
      </c>
      <c r="H88" s="43"/>
      <c r="I88" s="44" t="str">
        <f t="shared" si="31"/>
        <v/>
      </c>
      <c r="J88" s="43"/>
      <c r="K88" s="44" t="str">
        <f t="shared" si="32"/>
        <v/>
      </c>
      <c r="L88" s="43">
        <f>VLOOKUP(A88,[1]ticket_pivot!$A$6:$V$127,5,FALSE)</f>
        <v>283399.36</v>
      </c>
      <c r="M88" s="43">
        <f>VLOOKUP(A88,[1]ticket_pivot!$A$6:$V$127,6,FALSE)</f>
        <v>0</v>
      </c>
      <c r="N88" s="44">
        <f t="shared" si="33"/>
        <v>0</v>
      </c>
      <c r="O88" s="43">
        <f>VLOOKUP(A88,[1]ticket_pivot!$A$6:$V$127,7,FALSE)</f>
        <v>0</v>
      </c>
      <c r="P88" s="44" t="str">
        <f t="shared" si="34"/>
        <v/>
      </c>
      <c r="Q88" s="43">
        <f>VLOOKUP(A88,[1]Sheet12!$A$5:$G$125,3,FALSE)</f>
        <v>0</v>
      </c>
      <c r="R88" s="43"/>
      <c r="S88" s="44" t="str">
        <f t="shared" si="35"/>
        <v/>
      </c>
      <c r="T88" s="43"/>
    </row>
    <row r="89" spans="1:20">
      <c r="A89" s="45" t="s">
        <v>100</v>
      </c>
      <c r="B89" s="46">
        <f>SUM(B86:B88)</f>
        <v>2238374.38</v>
      </c>
      <c r="C89" s="46">
        <f t="shared" ref="C89:T89" si="42">SUM(C86:C88)</f>
        <v>555241.27</v>
      </c>
      <c r="D89" s="47">
        <f t="shared" si="29"/>
        <v>0.24805558666196</v>
      </c>
      <c r="E89" s="46">
        <f t="shared" si="42"/>
        <v>512339.92</v>
      </c>
      <c r="F89" s="47">
        <f t="shared" si="30"/>
        <v>0.922733859462572</v>
      </c>
      <c r="G89" s="46">
        <f t="shared" si="42"/>
        <v>6231617.48</v>
      </c>
      <c r="H89" s="46">
        <f t="shared" si="42"/>
        <v>1594169.04</v>
      </c>
      <c r="I89" s="47">
        <f t="shared" si="31"/>
        <v>0.255819463424446</v>
      </c>
      <c r="J89" s="46">
        <f t="shared" si="42"/>
        <v>1594169.04</v>
      </c>
      <c r="K89" s="47">
        <f t="shared" si="32"/>
        <v>0.255819463424446</v>
      </c>
      <c r="L89" s="46">
        <f t="shared" si="42"/>
        <v>24586511.65</v>
      </c>
      <c r="M89" s="46">
        <f t="shared" si="42"/>
        <v>17086209.13</v>
      </c>
      <c r="N89" s="47">
        <f t="shared" si="33"/>
        <v>0.694942388462009</v>
      </c>
      <c r="O89" s="46">
        <f t="shared" si="42"/>
        <v>16877306.54</v>
      </c>
      <c r="P89" s="47">
        <f t="shared" si="34"/>
        <v>0.987773613888806</v>
      </c>
      <c r="Q89" s="46">
        <f t="shared" si="42"/>
        <v>158704174.73</v>
      </c>
      <c r="R89" s="46">
        <f t="shared" si="42"/>
        <v>6881327.54</v>
      </c>
      <c r="S89" s="47">
        <f t="shared" si="35"/>
        <v>0.0433594614111888</v>
      </c>
      <c r="T89" s="46">
        <f t="shared" si="42"/>
        <v>9518467.8</v>
      </c>
    </row>
    <row r="90" spans="1:20">
      <c r="A90" s="48" t="s">
        <v>101</v>
      </c>
      <c r="B90" s="49">
        <f>SUM(B89,B85,B82)</f>
        <v>6911211.79</v>
      </c>
      <c r="C90" s="49">
        <f t="shared" ref="C90:T90" si="43">SUM(C89,C85,C82)</f>
        <v>2054293.31</v>
      </c>
      <c r="D90" s="50">
        <f t="shared" si="29"/>
        <v>0.297240682592365</v>
      </c>
      <c r="E90" s="49">
        <f t="shared" si="43"/>
        <v>1978185.07</v>
      </c>
      <c r="F90" s="50">
        <f t="shared" si="30"/>
        <v>0.962951619601001</v>
      </c>
      <c r="G90" s="49">
        <f t="shared" si="43"/>
        <v>24042438.42</v>
      </c>
      <c r="H90" s="49">
        <f t="shared" si="43"/>
        <v>3992380.22</v>
      </c>
      <c r="I90" s="50">
        <f t="shared" si="31"/>
        <v>0.166055545209545</v>
      </c>
      <c r="J90" s="49">
        <f t="shared" si="43"/>
        <v>5574960.7</v>
      </c>
      <c r="K90" s="50">
        <f t="shared" si="32"/>
        <v>0.231880003292944</v>
      </c>
      <c r="L90" s="49">
        <f t="shared" si="43"/>
        <v>108636287.79</v>
      </c>
      <c r="M90" s="49">
        <f t="shared" si="43"/>
        <v>72449451.05</v>
      </c>
      <c r="N90" s="50">
        <f t="shared" si="33"/>
        <v>0.666899178201384</v>
      </c>
      <c r="O90" s="49">
        <f t="shared" si="43"/>
        <v>68841582.77</v>
      </c>
      <c r="P90" s="50">
        <f t="shared" si="34"/>
        <v>0.950201578787532</v>
      </c>
      <c r="Q90" s="49">
        <f t="shared" si="43"/>
        <v>698522078.87</v>
      </c>
      <c r="R90" s="49">
        <f t="shared" si="43"/>
        <v>15736844.97</v>
      </c>
      <c r="S90" s="50">
        <f t="shared" si="35"/>
        <v>0.0225287724554928</v>
      </c>
      <c r="T90" s="49">
        <f t="shared" si="43"/>
        <v>26950464.96</v>
      </c>
    </row>
    <row r="91" spans="1:20">
      <c r="A91" s="40" t="s">
        <v>102</v>
      </c>
      <c r="B91" s="43">
        <f>VLOOKUP(A91,[1]ticket_pivot!$A$6:$V$127,2,FALSE)</f>
        <v>5753023.32</v>
      </c>
      <c r="C91" s="43">
        <f>VLOOKUP(A91,[1]ticket_pivot!$A$6:$V$127,3,FALSE)</f>
        <v>3244259.4</v>
      </c>
      <c r="D91" s="44">
        <f t="shared" si="29"/>
        <v>0.563922518568898</v>
      </c>
      <c r="E91" s="43">
        <f>VLOOKUP(A91,[1]ticket_pivot!$A$6:$V$127,4,FALSE)</f>
        <v>3193335.61</v>
      </c>
      <c r="F91" s="44">
        <f t="shared" si="30"/>
        <v>0.984303416058531</v>
      </c>
      <c r="G91" s="43">
        <f>VLOOKUP(A91,[1]Sheet12!$A$5:$G$125,2,FALSE)</f>
        <v>37477546.51</v>
      </c>
      <c r="H91" s="43">
        <f>VLOOKUP(A91,[1]NPL!$A$5:$H$119,2,FALSE)</f>
        <v>1949719.24</v>
      </c>
      <c r="I91" s="44">
        <f t="shared" si="31"/>
        <v>0.0520236627410966</v>
      </c>
      <c r="J91" s="43">
        <f>VLOOKUP(A91,[1]PAR!$A$5:$H$120,2,FALSE)</f>
        <v>2596286.99</v>
      </c>
      <c r="K91" s="44">
        <f t="shared" si="32"/>
        <v>0.0692757992924441</v>
      </c>
      <c r="L91" s="43">
        <f>VLOOKUP(A91,[1]ticket_pivot!$A$6:$V$127,5,FALSE)</f>
        <v>10189538.62</v>
      </c>
      <c r="M91" s="43">
        <f>VLOOKUP(A91,[1]ticket_pivot!$A$6:$V$127,6,FALSE)</f>
        <v>7636415.9</v>
      </c>
      <c r="N91" s="44">
        <f t="shared" si="33"/>
        <v>0.749436867044329</v>
      </c>
      <c r="O91" s="43">
        <f>VLOOKUP(A91,[1]ticket_pivot!$A$6:$V$127,7,FALSE)</f>
        <v>7615248.16</v>
      </c>
      <c r="P91" s="44">
        <f t="shared" si="34"/>
        <v>0.997228053018956</v>
      </c>
      <c r="Q91" s="43">
        <f>VLOOKUP(A91,[1]Sheet12!$A$5:$G$125,3,FALSE)</f>
        <v>70562757.16</v>
      </c>
      <c r="R91" s="43">
        <f>VLOOKUP(A91,[1]NPL!$A$5:$H$119,3,FALSE)</f>
        <v>2128548.58</v>
      </c>
      <c r="S91" s="44">
        <f t="shared" si="35"/>
        <v>0.0301653260965065</v>
      </c>
      <c r="T91" s="43">
        <f>VLOOKUP(A91,[1]PAR!$A$5:$H$120,3,FALSE)</f>
        <v>3951991.57</v>
      </c>
    </row>
    <row r="92" spans="1:20">
      <c r="A92" s="40" t="s">
        <v>103</v>
      </c>
      <c r="B92" s="43">
        <f>VLOOKUP(A92,[1]ticket_pivot!$A$6:$V$127,2,FALSE)</f>
        <v>3760303.42</v>
      </c>
      <c r="C92" s="43">
        <f>VLOOKUP(A92,[1]ticket_pivot!$A$6:$V$127,3,FALSE)</f>
        <v>2243377.31</v>
      </c>
      <c r="D92" s="44">
        <f t="shared" si="29"/>
        <v>0.596594758302776</v>
      </c>
      <c r="E92" s="43">
        <f>VLOOKUP(A92,[1]ticket_pivot!$A$6:$V$127,4,FALSE)</f>
        <v>2110264.79</v>
      </c>
      <c r="F92" s="44">
        <f t="shared" si="30"/>
        <v>0.940664230039842</v>
      </c>
      <c r="G92" s="43">
        <f>VLOOKUP(A92,[1]Sheet12!$A$5:$G$125,2,FALSE)</f>
        <v>27941436.12</v>
      </c>
      <c r="H92" s="43">
        <f>VLOOKUP(A92,[1]NPL!$A$5:$H$119,2,FALSE)</f>
        <v>655208.25</v>
      </c>
      <c r="I92" s="44">
        <f t="shared" si="31"/>
        <v>0.0234493405129958</v>
      </c>
      <c r="J92" s="43">
        <f>VLOOKUP(A92,[1]PAR!$A$5:$H$120,2,FALSE)</f>
        <v>1644440.34</v>
      </c>
      <c r="K92" s="44">
        <f t="shared" si="32"/>
        <v>0.0588531073684841</v>
      </c>
      <c r="L92" s="43">
        <f>VLOOKUP(A92,[1]ticket_pivot!$A$6:$V$127,5,FALSE)</f>
        <v>15631958.45</v>
      </c>
      <c r="M92" s="43">
        <f>VLOOKUP(A92,[1]ticket_pivot!$A$6:$V$127,6,FALSE)</f>
        <v>9010311.2</v>
      </c>
      <c r="N92" s="44">
        <f t="shared" si="33"/>
        <v>0.576403220928469</v>
      </c>
      <c r="O92" s="43">
        <f>VLOOKUP(A92,[1]ticket_pivot!$A$6:$V$127,7,FALSE)</f>
        <v>8828205.47</v>
      </c>
      <c r="P92" s="44">
        <f t="shared" si="34"/>
        <v>0.97978918530583</v>
      </c>
      <c r="Q92" s="43">
        <f>VLOOKUP(A92,[1]Sheet12!$A$5:$G$125,3,FALSE)</f>
        <v>77800960.7</v>
      </c>
      <c r="R92" s="43">
        <f>VLOOKUP(A92,[1]NPL!$A$5:$H$119,3,FALSE)</f>
        <v>5401413.51</v>
      </c>
      <c r="S92" s="44">
        <f t="shared" si="35"/>
        <v>0.0694260515731652</v>
      </c>
      <c r="T92" s="43">
        <f>VLOOKUP(A92,[1]PAR!$A$5:$H$120,3,FALSE)</f>
        <v>9482453.41</v>
      </c>
    </row>
    <row r="93" spans="1:20">
      <c r="A93" s="40" t="s">
        <v>104</v>
      </c>
      <c r="B93" s="43">
        <f>VLOOKUP(A93,[1]ticket_pivot!$A$6:$V$127,2,FALSE)</f>
        <v>6282505.11</v>
      </c>
      <c r="C93" s="43">
        <f>VLOOKUP(A93,[1]ticket_pivot!$A$6:$V$127,3,FALSE)</f>
        <v>3042060.47</v>
      </c>
      <c r="D93" s="44">
        <f t="shared" si="29"/>
        <v>0.484211380132089</v>
      </c>
      <c r="E93" s="43">
        <f>VLOOKUP(A93,[1]ticket_pivot!$A$6:$V$127,4,FALSE)</f>
        <v>2955459.27</v>
      </c>
      <c r="F93" s="44">
        <f t="shared" si="30"/>
        <v>0.971532058335448</v>
      </c>
      <c r="G93" s="43">
        <f>VLOOKUP(A93,[1]Sheet12!$A$5:$G$125,2,FALSE)</f>
        <v>36393834.78</v>
      </c>
      <c r="H93" s="43">
        <f>VLOOKUP(A93,[1]NPL!$A$5:$H$119,2,FALSE)</f>
        <v>2842668.09</v>
      </c>
      <c r="I93" s="44">
        <f t="shared" si="31"/>
        <v>0.0781085067617598</v>
      </c>
      <c r="J93" s="43">
        <f>VLOOKUP(A93,[1]PAR!$A$5:$H$120,2,FALSE)</f>
        <v>3967917.93</v>
      </c>
      <c r="K93" s="44">
        <f t="shared" si="32"/>
        <v>0.109027200732926</v>
      </c>
      <c r="L93" s="43">
        <f>VLOOKUP(A93,[1]ticket_pivot!$A$6:$V$127,5,FALSE)</f>
        <v>11549195.79</v>
      </c>
      <c r="M93" s="43">
        <f>VLOOKUP(A93,[1]ticket_pivot!$A$6:$V$127,6,FALSE)</f>
        <v>6862551.36</v>
      </c>
      <c r="N93" s="44">
        <f t="shared" si="33"/>
        <v>0.594201664322118</v>
      </c>
      <c r="O93" s="43">
        <f>VLOOKUP(A93,[1]ticket_pivot!$A$6:$V$127,7,FALSE)</f>
        <v>6751040.56</v>
      </c>
      <c r="P93" s="44">
        <f t="shared" si="34"/>
        <v>0.983750824707854</v>
      </c>
      <c r="Q93" s="43">
        <f>VLOOKUP(A93,[1]Sheet12!$A$5:$G$125,3,FALSE)</f>
        <v>12042390.47</v>
      </c>
      <c r="R93" s="43">
        <f>VLOOKUP(A93,[1]NPL!$A$5:$H$119,3,FALSE)</f>
        <v>2721033.76</v>
      </c>
      <c r="S93" s="44">
        <f t="shared" si="35"/>
        <v>0.225954619789039</v>
      </c>
      <c r="T93" s="43">
        <f>VLOOKUP(A93,[1]PAR!$A$5:$H$120,3,FALSE)</f>
        <v>8165745.2</v>
      </c>
    </row>
    <row r="94" spans="1:20">
      <c r="A94" s="45" t="s">
        <v>105</v>
      </c>
      <c r="B94" s="46">
        <f>SUM(B91:B93)</f>
        <v>15795831.85</v>
      </c>
      <c r="C94" s="46">
        <f t="shared" ref="C94:T94" si="44">SUM(C91:C93)</f>
        <v>8529697.18</v>
      </c>
      <c r="D94" s="47">
        <f t="shared" si="29"/>
        <v>0.539996706789456</v>
      </c>
      <c r="E94" s="46">
        <f t="shared" si="44"/>
        <v>8259059.67</v>
      </c>
      <c r="F94" s="47">
        <f t="shared" si="30"/>
        <v>0.968271146760687</v>
      </c>
      <c r="G94" s="46">
        <f t="shared" si="44"/>
        <v>101812817.41</v>
      </c>
      <c r="H94" s="46">
        <f t="shared" si="44"/>
        <v>5447595.58</v>
      </c>
      <c r="I94" s="47">
        <f t="shared" si="31"/>
        <v>0.0535059898997053</v>
      </c>
      <c r="J94" s="46">
        <f t="shared" si="44"/>
        <v>8208645.26</v>
      </c>
      <c r="K94" s="47">
        <f t="shared" si="32"/>
        <v>0.0806248709034718</v>
      </c>
      <c r="L94" s="46">
        <f t="shared" si="44"/>
        <v>37370692.86</v>
      </c>
      <c r="M94" s="46">
        <f t="shared" si="44"/>
        <v>23509278.46</v>
      </c>
      <c r="N94" s="47">
        <f t="shared" si="33"/>
        <v>0.629083291232294</v>
      </c>
      <c r="O94" s="46">
        <f t="shared" si="44"/>
        <v>23194494.19</v>
      </c>
      <c r="P94" s="47">
        <f t="shared" si="34"/>
        <v>0.986610211345466</v>
      </c>
      <c r="Q94" s="46">
        <f t="shared" si="44"/>
        <v>160406108.33</v>
      </c>
      <c r="R94" s="46">
        <f t="shared" si="44"/>
        <v>10250995.85</v>
      </c>
      <c r="S94" s="47">
        <f t="shared" si="35"/>
        <v>0.0639065180043571</v>
      </c>
      <c r="T94" s="46">
        <f t="shared" si="44"/>
        <v>21600190.18</v>
      </c>
    </row>
    <row r="95" spans="1:20">
      <c r="A95" s="40" t="s">
        <v>106</v>
      </c>
      <c r="B95" s="43">
        <f>VLOOKUP(A95,[1]ticket_pivot!$A$6:$V$127,2,FALSE)</f>
        <v>4091487.03</v>
      </c>
      <c r="C95" s="43">
        <f>VLOOKUP(A95,[1]ticket_pivot!$A$6:$V$127,3,FALSE)</f>
        <v>2651776.56</v>
      </c>
      <c r="D95" s="44">
        <f t="shared" si="29"/>
        <v>0.648120485426542</v>
      </c>
      <c r="E95" s="43">
        <f>VLOOKUP(A95,[1]ticket_pivot!$A$6:$V$127,4,FALSE)</f>
        <v>2646586.76</v>
      </c>
      <c r="F95" s="44">
        <f t="shared" si="30"/>
        <v>0.998042896947547</v>
      </c>
      <c r="G95" s="43">
        <f>VLOOKUP(A95,[1]Sheet12!$A$5:$G$125,2,FALSE)</f>
        <v>36057196.16</v>
      </c>
      <c r="H95" s="43">
        <f>VLOOKUP(A95,[1]NPL!$A$5:$H$119,2,FALSE)</f>
        <v>1808821.57</v>
      </c>
      <c r="I95" s="44">
        <f t="shared" si="31"/>
        <v>0.0501653418078751</v>
      </c>
      <c r="J95" s="43">
        <f>VLOOKUP(A95,[1]PAR!$A$5:$H$120,2,FALSE)</f>
        <v>3242202.55</v>
      </c>
      <c r="K95" s="44">
        <f t="shared" si="32"/>
        <v>0.0899183213140886</v>
      </c>
      <c r="L95" s="43">
        <f>VLOOKUP(A95,[1]ticket_pivot!$A$6:$V$127,5,FALSE)</f>
        <v>12630918.26</v>
      </c>
      <c r="M95" s="43">
        <f>VLOOKUP(A95,[1]ticket_pivot!$A$6:$V$127,6,FALSE)</f>
        <v>8480023.48</v>
      </c>
      <c r="N95" s="44">
        <f t="shared" si="33"/>
        <v>0.671370307798983</v>
      </c>
      <c r="O95" s="43">
        <f>VLOOKUP(A95,[1]ticket_pivot!$A$6:$V$127,7,FALSE)</f>
        <v>8174163.73</v>
      </c>
      <c r="P95" s="44">
        <f t="shared" si="34"/>
        <v>0.963931733122985</v>
      </c>
      <c r="Q95" s="43">
        <f>VLOOKUP(A95,[1]Sheet12!$A$5:$G$125,3,FALSE)</f>
        <v>10616268.59</v>
      </c>
      <c r="R95" s="43">
        <f>VLOOKUP(A95,[1]NPL!$A$5:$H$119,3,FALSE)</f>
        <v>4450567</v>
      </c>
      <c r="S95" s="44">
        <f t="shared" si="35"/>
        <v>0.419221401782564</v>
      </c>
      <c r="T95" s="43">
        <f>VLOOKUP(A95,[1]PAR!$A$5:$H$120,3,FALSE)</f>
        <v>9275801.74</v>
      </c>
    </row>
    <row r="96" spans="1:20">
      <c r="A96" s="40" t="s">
        <v>107</v>
      </c>
      <c r="B96" s="43">
        <f>VLOOKUP(A96,[1]ticket_pivot!$A$6:$V$127,2,FALSE)</f>
        <v>2491631.8</v>
      </c>
      <c r="C96" s="43">
        <f>VLOOKUP(A96,[1]ticket_pivot!$A$6:$V$127,3,FALSE)</f>
        <v>1172452.22</v>
      </c>
      <c r="D96" s="44">
        <f t="shared" si="29"/>
        <v>0.470555970589234</v>
      </c>
      <c r="E96" s="43">
        <f>VLOOKUP(A96,[1]ticket_pivot!$A$6:$V$127,4,FALSE)</f>
        <v>1157418.19</v>
      </c>
      <c r="F96" s="44">
        <f t="shared" si="30"/>
        <v>0.987177277040765</v>
      </c>
      <c r="G96" s="43">
        <f>VLOOKUP(A96,[1]Sheet12!$A$5:$G$125,2,FALSE)</f>
        <v>14787773.12</v>
      </c>
      <c r="H96" s="43">
        <f>VLOOKUP(A96,[1]NPL!$A$5:$H$119,2,FALSE)</f>
        <v>1205621.58</v>
      </c>
      <c r="I96" s="44">
        <f t="shared" si="31"/>
        <v>0.0815282713777529</v>
      </c>
      <c r="J96" s="43">
        <f>VLOOKUP(A96,[1]PAR!$A$5:$H$120,2,FALSE)</f>
        <v>2085882.23</v>
      </c>
      <c r="K96" s="44">
        <f t="shared" si="32"/>
        <v>0.141054519370392</v>
      </c>
      <c r="L96" s="43">
        <f>VLOOKUP(A96,[1]ticket_pivot!$A$6:$V$127,5,FALSE)</f>
        <v>11275601.19</v>
      </c>
      <c r="M96" s="43">
        <f>VLOOKUP(A96,[1]ticket_pivot!$A$6:$V$127,6,FALSE)</f>
        <v>8794348.93</v>
      </c>
      <c r="N96" s="44">
        <f t="shared" si="33"/>
        <v>0.779945014177998</v>
      </c>
      <c r="O96" s="43">
        <f>VLOOKUP(A96,[1]ticket_pivot!$A$6:$V$127,7,FALSE)</f>
        <v>8723181.36</v>
      </c>
      <c r="P96" s="44">
        <f t="shared" si="34"/>
        <v>0.991907579450569</v>
      </c>
      <c r="Q96" s="43">
        <f>VLOOKUP(A96,[1]Sheet12!$A$5:$G$125,3,FALSE)</f>
        <v>35119388.55</v>
      </c>
      <c r="R96" s="43">
        <f>VLOOKUP(A96,[1]NPL!$A$5:$H$119,3,FALSE)</f>
        <v>1127399.15</v>
      </c>
      <c r="S96" s="44">
        <f t="shared" si="35"/>
        <v>0.0321019014438393</v>
      </c>
      <c r="T96" s="43">
        <f>VLOOKUP(A96,[1]PAR!$A$5:$H$120,3,FALSE)</f>
        <v>2358060.61</v>
      </c>
    </row>
    <row r="97" spans="1:20">
      <c r="A97" s="40" t="s">
        <v>108</v>
      </c>
      <c r="B97" s="43">
        <f>VLOOKUP(A97,[1]ticket_pivot!$A$6:$V$127,2,FALSE)</f>
        <v>4559278.77</v>
      </c>
      <c r="C97" s="43">
        <f>VLOOKUP(A97,[1]ticket_pivot!$A$6:$V$127,3,FALSE)</f>
        <v>2167245.8</v>
      </c>
      <c r="D97" s="44">
        <f t="shared" si="29"/>
        <v>0.475348384981513</v>
      </c>
      <c r="E97" s="43">
        <f>VLOOKUP(A97,[1]ticket_pivot!$A$6:$V$127,4,FALSE)</f>
        <v>1992484.92</v>
      </c>
      <c r="F97" s="44">
        <f t="shared" si="30"/>
        <v>0.919362686041427</v>
      </c>
      <c r="G97" s="43">
        <f>VLOOKUP(A97,[1]Sheet12!$A$5:$G$125,2,FALSE)</f>
        <v>26748565.6</v>
      </c>
      <c r="H97" s="43">
        <f>VLOOKUP(A97,[1]NPL!$A$5:$H$119,2,FALSE)</f>
        <v>2315643.57</v>
      </c>
      <c r="I97" s="44">
        <f t="shared" si="31"/>
        <v>0.086570756900699</v>
      </c>
      <c r="J97" s="43">
        <f>VLOOKUP(A97,[1]PAR!$A$5:$H$120,2,FALSE)</f>
        <v>3087762.74</v>
      </c>
      <c r="K97" s="44">
        <f t="shared" si="32"/>
        <v>0.115436572793272</v>
      </c>
      <c r="L97" s="43">
        <f>VLOOKUP(A97,[1]ticket_pivot!$A$6:$V$127,5,FALSE)</f>
        <v>23338917.32</v>
      </c>
      <c r="M97" s="43">
        <f>VLOOKUP(A97,[1]ticket_pivot!$A$6:$V$127,6,FALSE)</f>
        <v>15016788.85</v>
      </c>
      <c r="N97" s="44">
        <f t="shared" si="33"/>
        <v>0.643422685127367</v>
      </c>
      <c r="O97" s="43">
        <f>VLOOKUP(A97,[1]ticket_pivot!$A$6:$V$127,7,FALSE)</f>
        <v>14613117.16</v>
      </c>
      <c r="P97" s="44">
        <f t="shared" si="34"/>
        <v>0.973118641140113</v>
      </c>
      <c r="Q97" s="43">
        <f>VLOOKUP(A97,[1]Sheet12!$A$5:$G$125,3,FALSE)</f>
        <v>33432480</v>
      </c>
      <c r="R97" s="43">
        <f>VLOOKUP(A97,[1]NPL!$A$5:$H$119,3,FALSE)</f>
        <v>6612965.84</v>
      </c>
      <c r="S97" s="44">
        <f t="shared" si="35"/>
        <v>0.197800636985351</v>
      </c>
      <c r="T97" s="43">
        <f>VLOOKUP(A97,[1]PAR!$A$5:$H$120,3,FALSE)</f>
        <v>9940908.99</v>
      </c>
    </row>
    <row r="98" spans="1:20">
      <c r="A98" s="45" t="s">
        <v>109</v>
      </c>
      <c r="B98" s="46">
        <f>SUM(B95:B97)</f>
        <v>11142397.6</v>
      </c>
      <c r="C98" s="46">
        <f t="shared" ref="C98:T98" si="45">SUM(C95:C97)</f>
        <v>5991474.58</v>
      </c>
      <c r="D98" s="47">
        <f t="shared" si="29"/>
        <v>0.537718612733762</v>
      </c>
      <c r="E98" s="46">
        <f t="shared" si="45"/>
        <v>5796489.87</v>
      </c>
      <c r="F98" s="47">
        <f t="shared" si="30"/>
        <v>0.967456306891316</v>
      </c>
      <c r="G98" s="46">
        <f t="shared" si="45"/>
        <v>77593534.88</v>
      </c>
      <c r="H98" s="46">
        <f t="shared" si="45"/>
        <v>5330086.72</v>
      </c>
      <c r="I98" s="47">
        <f t="shared" si="31"/>
        <v>0.06869240753425</v>
      </c>
      <c r="J98" s="46">
        <f t="shared" si="45"/>
        <v>8415847.52</v>
      </c>
      <c r="K98" s="47">
        <f t="shared" si="32"/>
        <v>0.10846067952717</v>
      </c>
      <c r="L98" s="46">
        <f t="shared" si="45"/>
        <v>47245436.77</v>
      </c>
      <c r="M98" s="46">
        <f t="shared" si="45"/>
        <v>32291161.26</v>
      </c>
      <c r="N98" s="47">
        <f t="shared" si="33"/>
        <v>0.683476827978111</v>
      </c>
      <c r="O98" s="46">
        <f t="shared" si="45"/>
        <v>31510462.25</v>
      </c>
      <c r="P98" s="47">
        <f t="shared" si="34"/>
        <v>0.975823136129605</v>
      </c>
      <c r="Q98" s="46">
        <f t="shared" si="45"/>
        <v>79168137.14</v>
      </c>
      <c r="R98" s="46">
        <f t="shared" si="45"/>
        <v>12190931.99</v>
      </c>
      <c r="S98" s="47">
        <f t="shared" si="35"/>
        <v>0.153987859641584</v>
      </c>
      <c r="T98" s="46">
        <f t="shared" si="45"/>
        <v>21574771.34</v>
      </c>
    </row>
    <row r="99" spans="1:20">
      <c r="A99" s="48" t="s">
        <v>110</v>
      </c>
      <c r="B99" s="49">
        <f>SUM(B98,B94)</f>
        <v>26938229.45</v>
      </c>
      <c r="C99" s="49">
        <f t="shared" ref="C99:T99" si="46">SUM(C98,C94)</f>
        <v>14521171.76</v>
      </c>
      <c r="D99" s="50">
        <f t="shared" si="29"/>
        <v>0.539054424009296</v>
      </c>
      <c r="E99" s="49">
        <f t="shared" si="46"/>
        <v>14055549.54</v>
      </c>
      <c r="F99" s="50">
        <f t="shared" si="30"/>
        <v>0.967934941635867</v>
      </c>
      <c r="G99" s="49">
        <f t="shared" si="46"/>
        <v>179406352.29</v>
      </c>
      <c r="H99" s="49">
        <f t="shared" si="46"/>
        <v>10777682.3</v>
      </c>
      <c r="I99" s="50">
        <f t="shared" si="31"/>
        <v>0.0600741398642256</v>
      </c>
      <c r="J99" s="49">
        <f t="shared" si="46"/>
        <v>16624492.78</v>
      </c>
      <c r="K99" s="50">
        <f t="shared" si="32"/>
        <v>0.092663902742571</v>
      </c>
      <c r="L99" s="49">
        <f t="shared" si="46"/>
        <v>84616129.63</v>
      </c>
      <c r="M99" s="49">
        <f t="shared" si="46"/>
        <v>55800439.72</v>
      </c>
      <c r="N99" s="50">
        <f t="shared" si="33"/>
        <v>0.659453935839395</v>
      </c>
      <c r="O99" s="49">
        <f t="shared" si="46"/>
        <v>54704956.44</v>
      </c>
      <c r="P99" s="50">
        <f t="shared" si="34"/>
        <v>0.980367837861189</v>
      </c>
      <c r="Q99" s="49">
        <f t="shared" si="46"/>
        <v>239574245.47</v>
      </c>
      <c r="R99" s="49">
        <f t="shared" si="46"/>
        <v>22441927.84</v>
      </c>
      <c r="S99" s="50">
        <f t="shared" si="35"/>
        <v>0.0936742085776922</v>
      </c>
      <c r="T99" s="49">
        <f t="shared" si="46"/>
        <v>43174961.52</v>
      </c>
    </row>
    <row r="100" spans="1:20">
      <c r="A100" s="40" t="s">
        <v>111</v>
      </c>
      <c r="B100" s="43">
        <f>VLOOKUP(A100,[1]ticket_pivot!$A$6:$V$127,2,FALSE)</f>
        <v>1909047.58</v>
      </c>
      <c r="C100" s="43">
        <f>VLOOKUP(A100,[1]ticket_pivot!$A$6:$V$127,3,FALSE)</f>
        <v>408042.36</v>
      </c>
      <c r="D100" s="44">
        <f t="shared" si="29"/>
        <v>0.213741325399548</v>
      </c>
      <c r="E100" s="43">
        <f>VLOOKUP(A100,[1]ticket_pivot!$A$6:$V$127,4,FALSE)</f>
        <v>345876.96</v>
      </c>
      <c r="F100" s="44">
        <f t="shared" si="30"/>
        <v>0.847649641081382</v>
      </c>
      <c r="G100" s="43">
        <f>VLOOKUP(A100,[1]Sheet12!$A$5:$G$125,2,FALSE)</f>
        <v>5446539.87</v>
      </c>
      <c r="H100" s="43">
        <f>VLOOKUP(A100,[1]NPL!$A$5:$H$119,2,FALSE)</f>
        <v>582812.72</v>
      </c>
      <c r="I100" s="44">
        <f t="shared" si="31"/>
        <v>0.107006050430326</v>
      </c>
      <c r="J100" s="43">
        <f>VLOOKUP(A100,[1]PAR!$A$5:$H$120,2,FALSE)</f>
        <v>582812.72</v>
      </c>
      <c r="K100" s="44">
        <f t="shared" si="32"/>
        <v>0.107006050430326</v>
      </c>
      <c r="L100" s="43">
        <f>VLOOKUP(A100,[1]ticket_pivot!$A$6:$V$127,5,FALSE)</f>
        <v>5963358.94</v>
      </c>
      <c r="M100" s="43">
        <f>VLOOKUP(A100,[1]ticket_pivot!$A$6:$V$127,6,FALSE)</f>
        <v>3956053.29</v>
      </c>
      <c r="N100" s="44">
        <f t="shared" si="33"/>
        <v>0.663393454897417</v>
      </c>
      <c r="O100" s="43">
        <f>VLOOKUP(A100,[1]ticket_pivot!$A$6:$V$127,7,FALSE)</f>
        <v>3767930.93</v>
      </c>
      <c r="P100" s="44">
        <f t="shared" si="34"/>
        <v>0.952446960086324</v>
      </c>
      <c r="Q100" s="43">
        <f>VLOOKUP(A100,[1]Sheet12!$A$5:$G$125,3,FALSE)</f>
        <v>26109493.03</v>
      </c>
      <c r="R100" s="43">
        <f>VLOOKUP(A100,[1]NPL!$A$5:$H$119,3,FALSE)</f>
        <v>816629.67</v>
      </c>
      <c r="S100" s="44">
        <f t="shared" si="35"/>
        <v>0.0312771170647276</v>
      </c>
      <c r="T100" s="43">
        <f>VLOOKUP(A100,[1]PAR!$A$5:$H$120,3,FALSE)</f>
        <v>3254138.39</v>
      </c>
    </row>
    <row r="101" spans="1:20">
      <c r="A101" s="40" t="s">
        <v>112</v>
      </c>
      <c r="B101" s="43">
        <f>VLOOKUP(A101,[1]ticket_pivot!$A$6:$V$127,2,FALSE)</f>
        <v>832583.83</v>
      </c>
      <c r="C101" s="43">
        <f>VLOOKUP(A101,[1]ticket_pivot!$A$6:$V$127,3,FALSE)</f>
        <v>313756.35</v>
      </c>
      <c r="D101" s="44">
        <f t="shared" si="29"/>
        <v>0.376846557301023</v>
      </c>
      <c r="E101" s="43">
        <f>VLOOKUP(A101,[1]ticket_pivot!$A$6:$V$127,4,FALSE)</f>
        <v>313248.09</v>
      </c>
      <c r="F101" s="44">
        <f t="shared" si="30"/>
        <v>0.998380080594385</v>
      </c>
      <c r="G101" s="43">
        <f>VLOOKUP(A101,[1]Sheet12!$A$5:$G$125,2,FALSE)</f>
        <v>5477773.61</v>
      </c>
      <c r="H101" s="43">
        <f>VLOOKUP(A101,[1]NPL!$A$5:$H$119,2,FALSE)</f>
        <v>5865.85</v>
      </c>
      <c r="I101" s="44">
        <f t="shared" si="31"/>
        <v>0.00107084564234118</v>
      </c>
      <c r="J101" s="43">
        <f>VLOOKUP(A101,[1]PAR!$A$5:$H$120,2,FALSE)</f>
        <v>644239.19</v>
      </c>
      <c r="K101" s="44">
        <f t="shared" si="32"/>
        <v>0.117609677921684</v>
      </c>
      <c r="L101" s="43">
        <f>VLOOKUP(A101,[1]ticket_pivot!$A$6:$V$127,5,FALSE)</f>
        <v>21398661.1</v>
      </c>
      <c r="M101" s="43">
        <f>VLOOKUP(A101,[1]ticket_pivot!$A$6:$V$127,6,FALSE)</f>
        <v>10493233.8</v>
      </c>
      <c r="N101" s="44">
        <f t="shared" si="33"/>
        <v>0.490368708161839</v>
      </c>
      <c r="O101" s="43">
        <f>VLOOKUP(A101,[1]ticket_pivot!$A$6:$V$127,7,FALSE)</f>
        <v>9960711.7</v>
      </c>
      <c r="P101" s="44">
        <f t="shared" si="34"/>
        <v>0.949250906808157</v>
      </c>
      <c r="Q101" s="43">
        <f>VLOOKUP(A101,[1]Sheet12!$A$5:$G$125,3,FALSE)</f>
        <v>137900183.35</v>
      </c>
      <c r="R101" s="43">
        <f>VLOOKUP(A101,[1]NPL!$A$5:$H$119,3,FALSE)</f>
        <v>8102298.85</v>
      </c>
      <c r="S101" s="44">
        <f t="shared" si="35"/>
        <v>0.0587548083923559</v>
      </c>
      <c r="T101" s="43">
        <f>VLOOKUP(A101,[1]PAR!$A$5:$H$120,3,FALSE)</f>
        <v>15873552.72</v>
      </c>
    </row>
    <row r="102" spans="1:20">
      <c r="A102" s="40" t="s">
        <v>113</v>
      </c>
      <c r="B102" s="43">
        <f>VLOOKUP(A102,[1]ticket_pivot!$A$6:$V$127,2,FALSE)</f>
        <v>896704.02</v>
      </c>
      <c r="C102" s="43">
        <f>VLOOKUP(A102,[1]ticket_pivot!$A$6:$V$127,3,FALSE)</f>
        <v>567271.11</v>
      </c>
      <c r="D102" s="44">
        <f t="shared" si="29"/>
        <v>0.632618006998564</v>
      </c>
      <c r="E102" s="43">
        <f>VLOOKUP(A102,[1]ticket_pivot!$A$6:$V$127,4,FALSE)</f>
        <v>566294.92</v>
      </c>
      <c r="F102" s="44">
        <f t="shared" si="30"/>
        <v>0.998279147337505</v>
      </c>
      <c r="G102" s="43">
        <f>VLOOKUP(A102,[1]Sheet12!$A$5:$G$125,2,FALSE)</f>
        <v>6215598.96</v>
      </c>
      <c r="H102" s="43">
        <f>VLOOKUP(A102,[1]NPL!$A$5:$H$119,2,FALSE)</f>
        <v>607838.87</v>
      </c>
      <c r="I102" s="44">
        <f t="shared" si="31"/>
        <v>0.0977924853118258</v>
      </c>
      <c r="J102" s="43">
        <f>VLOOKUP(A102,[1]PAR!$A$5:$H$120,2,FALSE)</f>
        <v>607838.87</v>
      </c>
      <c r="K102" s="44">
        <f t="shared" si="32"/>
        <v>0.0977924853118258</v>
      </c>
      <c r="L102" s="43">
        <f>VLOOKUP(A102,[1]ticket_pivot!$A$6:$V$127,5,FALSE)</f>
        <v>10905617.83</v>
      </c>
      <c r="M102" s="43">
        <f>VLOOKUP(A102,[1]ticket_pivot!$A$6:$V$127,6,FALSE)</f>
        <v>7824944.71</v>
      </c>
      <c r="N102" s="44">
        <f t="shared" si="33"/>
        <v>0.717515030507905</v>
      </c>
      <c r="O102" s="43">
        <f>VLOOKUP(A102,[1]ticket_pivot!$A$6:$V$127,7,FALSE)</f>
        <v>7746002.89</v>
      </c>
      <c r="P102" s="44">
        <f t="shared" si="34"/>
        <v>0.989911517215052</v>
      </c>
      <c r="Q102" s="43">
        <f>VLOOKUP(A102,[1]Sheet12!$A$5:$G$125,3,FALSE)</f>
        <v>47325839.18</v>
      </c>
      <c r="R102" s="43">
        <f>VLOOKUP(A102,[1]NPL!$A$5:$H$119,3,FALSE)</f>
        <v>1777642.73</v>
      </c>
      <c r="S102" s="44">
        <f t="shared" si="35"/>
        <v>0.0375617793746642</v>
      </c>
      <c r="T102" s="43">
        <f>VLOOKUP(A102,[1]PAR!$A$5:$H$120,3,FALSE)</f>
        <v>5614802.71</v>
      </c>
    </row>
    <row r="103" spans="1:20">
      <c r="A103" s="40" t="s">
        <v>114</v>
      </c>
      <c r="B103" s="43"/>
      <c r="C103" s="43"/>
      <c r="D103" s="44" t="str">
        <f t="shared" si="29"/>
        <v/>
      </c>
      <c r="E103" s="43"/>
      <c r="F103" s="44" t="str">
        <f t="shared" si="30"/>
        <v/>
      </c>
      <c r="G103" s="43"/>
      <c r="H103" s="43"/>
      <c r="I103" s="44" t="str">
        <f t="shared" si="31"/>
        <v/>
      </c>
      <c r="J103" s="43"/>
      <c r="K103" s="44" t="str">
        <f t="shared" si="32"/>
        <v/>
      </c>
      <c r="L103" s="43"/>
      <c r="M103" s="43"/>
      <c r="N103" s="44" t="str">
        <f t="shared" si="33"/>
        <v/>
      </c>
      <c r="O103" s="43"/>
      <c r="P103" s="44" t="str">
        <f t="shared" si="34"/>
        <v/>
      </c>
      <c r="Q103" s="43"/>
      <c r="R103" s="43"/>
      <c r="S103" s="44" t="str">
        <f t="shared" si="35"/>
        <v/>
      </c>
      <c r="T103" s="43"/>
    </row>
    <row r="104" spans="1:20">
      <c r="A104" s="45" t="s">
        <v>115</v>
      </c>
      <c r="B104" s="46">
        <f>SUM(B100:B103)</f>
        <v>3638335.43</v>
      </c>
      <c r="C104" s="46">
        <f t="shared" ref="C104:T104" si="47">SUM(C100:C103)</f>
        <v>1289069.82</v>
      </c>
      <c r="D104" s="47">
        <f t="shared" si="29"/>
        <v>0.354302082587256</v>
      </c>
      <c r="E104" s="46">
        <f t="shared" si="47"/>
        <v>1225419.97</v>
      </c>
      <c r="F104" s="47">
        <f t="shared" si="30"/>
        <v>0.950623427053781</v>
      </c>
      <c r="G104" s="46">
        <f t="shared" si="47"/>
        <v>17139912.44</v>
      </c>
      <c r="H104" s="46">
        <f t="shared" si="47"/>
        <v>1196517.44</v>
      </c>
      <c r="I104" s="47">
        <f t="shared" si="31"/>
        <v>0.0698088420339678</v>
      </c>
      <c r="J104" s="46">
        <f t="shared" si="47"/>
        <v>1834890.78</v>
      </c>
      <c r="K104" s="47">
        <f t="shared" si="32"/>
        <v>0.107053684575299</v>
      </c>
      <c r="L104" s="46">
        <f t="shared" si="47"/>
        <v>38267637.87</v>
      </c>
      <c r="M104" s="46">
        <f t="shared" si="47"/>
        <v>22274231.8</v>
      </c>
      <c r="N104" s="47">
        <f t="shared" si="33"/>
        <v>0.582064455498099</v>
      </c>
      <c r="O104" s="46">
        <f t="shared" si="47"/>
        <v>21474645.52</v>
      </c>
      <c r="P104" s="47">
        <f t="shared" si="34"/>
        <v>0.964102632711221</v>
      </c>
      <c r="Q104" s="46">
        <f t="shared" si="47"/>
        <v>211335515.56</v>
      </c>
      <c r="R104" s="46">
        <f t="shared" si="47"/>
        <v>10696571.25</v>
      </c>
      <c r="S104" s="47">
        <f t="shared" si="35"/>
        <v>0.0506141678158357</v>
      </c>
      <c r="T104" s="46">
        <f t="shared" si="47"/>
        <v>24742493.82</v>
      </c>
    </row>
    <row r="105" spans="1:20">
      <c r="A105" s="40" t="s">
        <v>116</v>
      </c>
      <c r="B105" s="43">
        <f>VLOOKUP(A105,[1]ticket_pivot!$A$6:$V$127,2,FALSE)</f>
        <v>1322462.21</v>
      </c>
      <c r="C105" s="43">
        <f>VLOOKUP(A105,[1]ticket_pivot!$A$6:$V$127,3,FALSE)</f>
        <v>1037178.03</v>
      </c>
      <c r="D105" s="44">
        <f t="shared" si="29"/>
        <v>0.784278009728535</v>
      </c>
      <c r="E105" s="43">
        <f>VLOOKUP(A105,[1]ticket_pivot!$A$6:$V$127,4,FALSE)</f>
        <v>1013494.41</v>
      </c>
      <c r="F105" s="44">
        <f t="shared" si="30"/>
        <v>0.977165328116331</v>
      </c>
      <c r="G105" s="43">
        <f>VLOOKUP(A105,[1]Sheet12!$A$5:$G$125,2,FALSE)</f>
        <v>8260550.78</v>
      </c>
      <c r="H105" s="43">
        <f>VLOOKUP(A105,[1]NPL!$A$5:$H$119,2,FALSE)</f>
        <v>17464.89</v>
      </c>
      <c r="I105" s="44">
        <f t="shared" si="31"/>
        <v>0.00211425248329507</v>
      </c>
      <c r="J105" s="43">
        <f>VLOOKUP(A105,[1]PAR!$A$5:$H$120,2,FALSE)</f>
        <v>17464.89</v>
      </c>
      <c r="K105" s="44">
        <f t="shared" si="32"/>
        <v>0.00211425248329507</v>
      </c>
      <c r="L105" s="43">
        <f>VLOOKUP(A105,[1]ticket_pivot!$A$6:$V$127,5,FALSE)</f>
        <v>14350935.41</v>
      </c>
      <c r="M105" s="43">
        <f>VLOOKUP(A105,[1]ticket_pivot!$A$6:$V$127,6,FALSE)</f>
        <v>8225469.32</v>
      </c>
      <c r="N105" s="44">
        <f t="shared" si="33"/>
        <v>0.573166074893511</v>
      </c>
      <c r="O105" s="43">
        <f>VLOOKUP(A105,[1]ticket_pivot!$A$6:$V$127,7,FALSE)</f>
        <v>7417512.89</v>
      </c>
      <c r="P105" s="44">
        <f t="shared" si="34"/>
        <v>0.901773820001313</v>
      </c>
      <c r="Q105" s="43">
        <f>VLOOKUP(A105,[1]Sheet12!$A$5:$G$125,3,FALSE)</f>
        <v>19089098.79</v>
      </c>
      <c r="R105" s="43">
        <f>VLOOKUP(A105,[1]NPL!$A$5:$H$119,3,FALSE)</f>
        <v>4890350.29</v>
      </c>
      <c r="S105" s="44">
        <f t="shared" si="35"/>
        <v>0.256185498529761</v>
      </c>
      <c r="T105" s="43">
        <f>VLOOKUP(A105,[1]PAR!$A$5:$H$120,3,FALSE)</f>
        <v>10247784.85</v>
      </c>
    </row>
    <row r="106" spans="1:20">
      <c r="A106" s="40" t="s">
        <v>117</v>
      </c>
      <c r="B106" s="43">
        <f>VLOOKUP(A106,[1]ticket_pivot!$A$6:$V$127,2,FALSE)</f>
        <v>1052003.46</v>
      </c>
      <c r="C106" s="43">
        <f>VLOOKUP(A106,[1]ticket_pivot!$A$6:$V$127,3,FALSE)</f>
        <v>521081.79</v>
      </c>
      <c r="D106" s="44">
        <f t="shared" si="29"/>
        <v>0.495323266332223</v>
      </c>
      <c r="E106" s="43">
        <f>VLOOKUP(A106,[1]ticket_pivot!$A$6:$V$127,4,FALSE)</f>
        <v>452522.05</v>
      </c>
      <c r="F106" s="44">
        <f t="shared" si="30"/>
        <v>0.868428063855388</v>
      </c>
      <c r="G106" s="43">
        <f>VLOOKUP(A106,[1]Sheet12!$A$5:$G$125,2,FALSE)</f>
        <v>4844664.77</v>
      </c>
      <c r="H106" s="43">
        <f>VLOOKUP(A106,[1]NPL!$A$5:$H$119,2,FALSE)</f>
        <v>780759.63</v>
      </c>
      <c r="I106" s="44">
        <f t="shared" si="31"/>
        <v>0.161158649166968</v>
      </c>
      <c r="J106" s="43">
        <f>VLOOKUP(A106,[1]PAR!$A$5:$H$120,2,FALSE)</f>
        <v>1376121.92</v>
      </c>
      <c r="K106" s="44">
        <f t="shared" si="32"/>
        <v>0.284048945661105</v>
      </c>
      <c r="L106" s="43">
        <f>VLOOKUP(A106,[1]ticket_pivot!$A$6:$V$127,5,FALSE)</f>
        <v>9238265.9</v>
      </c>
      <c r="M106" s="43">
        <f>VLOOKUP(A106,[1]ticket_pivot!$A$6:$V$127,6,FALSE)</f>
        <v>5891138.36</v>
      </c>
      <c r="N106" s="44">
        <f t="shared" si="33"/>
        <v>0.637688763645567</v>
      </c>
      <c r="O106" s="43">
        <f>VLOOKUP(A106,[1]ticket_pivot!$A$6:$V$127,7,FALSE)</f>
        <v>5761705.95</v>
      </c>
      <c r="P106" s="44">
        <f t="shared" si="34"/>
        <v>0.978029304000254</v>
      </c>
      <c r="Q106" s="43">
        <f>VLOOKUP(A106,[1]Sheet12!$A$5:$G$125,3,FALSE)</f>
        <v>58339471.84</v>
      </c>
      <c r="R106" s="43">
        <f>VLOOKUP(A106,[1]NPL!$A$5:$H$119,3,FALSE)</f>
        <v>4923409.73</v>
      </c>
      <c r="S106" s="44">
        <f t="shared" si="35"/>
        <v>0.084392428911643</v>
      </c>
      <c r="T106" s="43">
        <f>VLOOKUP(A106,[1]PAR!$A$5:$H$120,3,FALSE)</f>
        <v>6405299.95</v>
      </c>
    </row>
    <row r="107" spans="1:20">
      <c r="A107" s="40" t="s">
        <v>118</v>
      </c>
      <c r="B107" s="43">
        <f>VLOOKUP(A107,[1]ticket_pivot!$A$6:$V$127,2,FALSE)</f>
        <v>923667.43</v>
      </c>
      <c r="C107" s="43">
        <f>VLOOKUP(A107,[1]ticket_pivot!$A$6:$V$127,3,FALSE)</f>
        <v>741047.99</v>
      </c>
      <c r="D107" s="44">
        <f t="shared" si="29"/>
        <v>0.802288752348884</v>
      </c>
      <c r="E107" s="43">
        <f>VLOOKUP(A107,[1]ticket_pivot!$A$6:$V$127,4,FALSE)</f>
        <v>739647.71</v>
      </c>
      <c r="F107" s="44">
        <f t="shared" si="30"/>
        <v>0.998110405778174</v>
      </c>
      <c r="G107" s="43">
        <f>VLOOKUP(A107,[1]Sheet12!$A$5:$G$125,2,FALSE)</f>
        <v>10515206.07</v>
      </c>
      <c r="H107" s="43">
        <f>VLOOKUP(A107,[1]NPL!$A$5:$H$119,2,FALSE)</f>
        <v>0</v>
      </c>
      <c r="I107" s="44">
        <f t="shared" si="31"/>
        <v>0</v>
      </c>
      <c r="J107" s="43">
        <f>VLOOKUP(A107,[1]PAR!$A$5:$H$120,2,FALSE)</f>
        <v>179029.05</v>
      </c>
      <c r="K107" s="44">
        <f t="shared" si="32"/>
        <v>0.0170257291020451</v>
      </c>
      <c r="L107" s="43">
        <f>VLOOKUP(A107,[1]ticket_pivot!$A$6:$V$127,5,FALSE)</f>
        <v>8161450.87</v>
      </c>
      <c r="M107" s="43">
        <f>VLOOKUP(A107,[1]ticket_pivot!$A$6:$V$127,6,FALSE)</f>
        <v>6214358.56</v>
      </c>
      <c r="N107" s="44">
        <f t="shared" si="33"/>
        <v>0.761428165038994</v>
      </c>
      <c r="O107" s="43">
        <f>VLOOKUP(A107,[1]ticket_pivot!$A$6:$V$127,7,FALSE)</f>
        <v>6166194.29</v>
      </c>
      <c r="P107" s="44">
        <f t="shared" si="34"/>
        <v>0.992249518669551</v>
      </c>
      <c r="Q107" s="43">
        <f>VLOOKUP(A107,[1]Sheet12!$A$5:$G$125,3,FALSE)</f>
        <v>41404879.72</v>
      </c>
      <c r="R107" s="43">
        <f>VLOOKUP(A107,[1]NPL!$A$5:$H$119,3,FALSE)</f>
        <v>1592467.72</v>
      </c>
      <c r="S107" s="44">
        <f t="shared" si="35"/>
        <v>0.0384608705729625</v>
      </c>
      <c r="T107" s="43">
        <f>VLOOKUP(A107,[1]PAR!$A$5:$H$120,3,FALSE)</f>
        <v>3119432.75</v>
      </c>
    </row>
    <row r="108" spans="1:20">
      <c r="A108" s="40" t="s">
        <v>119</v>
      </c>
      <c r="B108" s="43">
        <f>VLOOKUP(A108,[1]ticket_pivot!$A$6:$V$127,2,FALSE)</f>
        <v>1640859.19</v>
      </c>
      <c r="C108" s="43">
        <f>VLOOKUP(A108,[1]ticket_pivot!$A$6:$V$127,3,FALSE)</f>
        <v>1421211.26</v>
      </c>
      <c r="D108" s="44">
        <f t="shared" si="29"/>
        <v>0.866138464934337</v>
      </c>
      <c r="E108" s="43">
        <f>VLOOKUP(A108,[1]ticket_pivot!$A$6:$V$127,4,FALSE)</f>
        <v>1419069.02</v>
      </c>
      <c r="F108" s="44">
        <f t="shared" si="30"/>
        <v>0.99849266603756</v>
      </c>
      <c r="G108" s="43">
        <f>VLOOKUP(A108,[1]Sheet12!$A$5:$G$125,2,FALSE)</f>
        <v>16087052.08</v>
      </c>
      <c r="H108" s="43">
        <f>VLOOKUP(A108,[1]NPL!$A$5:$H$119,2,FALSE)</f>
        <v>0</v>
      </c>
      <c r="I108" s="44">
        <f t="shared" si="31"/>
        <v>0</v>
      </c>
      <c r="J108" s="43">
        <f>VLOOKUP(A108,[1]PAR!$A$5:$H$120,2,FALSE)</f>
        <v>235539.52</v>
      </c>
      <c r="K108" s="44">
        <f t="shared" si="32"/>
        <v>0.0146415588653953</v>
      </c>
      <c r="L108" s="43">
        <f>VLOOKUP(A108,[1]ticket_pivot!$A$6:$V$127,5,FALSE)</f>
        <v>4611667.22</v>
      </c>
      <c r="M108" s="43">
        <f>VLOOKUP(A108,[1]ticket_pivot!$A$6:$V$127,6,FALSE)</f>
        <v>3604830.17</v>
      </c>
      <c r="N108" s="44">
        <f t="shared" si="33"/>
        <v>0.781676126665532</v>
      </c>
      <c r="O108" s="43">
        <f>VLOOKUP(A108,[1]ticket_pivot!$A$6:$V$127,7,FALSE)</f>
        <v>3591204.03</v>
      </c>
      <c r="P108" s="44">
        <f t="shared" si="34"/>
        <v>0.996220032745675</v>
      </c>
      <c r="Q108" s="43">
        <f>VLOOKUP(A108,[1]Sheet12!$A$5:$G$125,3,FALSE)</f>
        <v>12364768.01</v>
      </c>
      <c r="R108" s="43">
        <f>VLOOKUP(A108,[1]NPL!$A$5:$H$119,3,FALSE)</f>
        <v>1626429.97</v>
      </c>
      <c r="S108" s="44">
        <f t="shared" si="35"/>
        <v>0.131537443216454</v>
      </c>
      <c r="T108" s="43">
        <f>VLOOKUP(A108,[1]PAR!$A$5:$H$120,3,FALSE)</f>
        <v>1626429.97</v>
      </c>
    </row>
    <row r="109" spans="1:20">
      <c r="A109" s="45" t="s">
        <v>120</v>
      </c>
      <c r="B109" s="46">
        <f>SUM(B105:B108)</f>
        <v>4938992.29</v>
      </c>
      <c r="C109" s="46">
        <f t="shared" ref="C109:T109" si="48">SUM(C105:C108)</f>
        <v>3720519.07</v>
      </c>
      <c r="D109" s="47">
        <f t="shared" si="29"/>
        <v>0.753295176737358</v>
      </c>
      <c r="E109" s="46">
        <f t="shared" si="48"/>
        <v>3624733.19</v>
      </c>
      <c r="F109" s="47">
        <f t="shared" si="30"/>
        <v>0.974254699895948</v>
      </c>
      <c r="G109" s="46">
        <f t="shared" si="48"/>
        <v>39707473.7</v>
      </c>
      <c r="H109" s="46">
        <f t="shared" si="48"/>
        <v>798224.52</v>
      </c>
      <c r="I109" s="47">
        <f t="shared" si="31"/>
        <v>0.0201026266750383</v>
      </c>
      <c r="J109" s="46">
        <f t="shared" si="48"/>
        <v>1808155.38</v>
      </c>
      <c r="K109" s="47">
        <f t="shared" si="32"/>
        <v>0.0455369030440232</v>
      </c>
      <c r="L109" s="46">
        <f t="shared" si="48"/>
        <v>36362319.4</v>
      </c>
      <c r="M109" s="46">
        <f t="shared" si="48"/>
        <v>23935796.41</v>
      </c>
      <c r="N109" s="47">
        <f t="shared" si="33"/>
        <v>0.658258241084588</v>
      </c>
      <c r="O109" s="46">
        <f t="shared" si="48"/>
        <v>22936617.16</v>
      </c>
      <c r="P109" s="47">
        <f t="shared" si="34"/>
        <v>0.958255859429747</v>
      </c>
      <c r="Q109" s="46">
        <f t="shared" si="48"/>
        <v>131198218.36</v>
      </c>
      <c r="R109" s="46">
        <f t="shared" si="48"/>
        <v>13032657.71</v>
      </c>
      <c r="S109" s="47">
        <f t="shared" si="35"/>
        <v>0.0993356302616791</v>
      </c>
      <c r="T109" s="46">
        <f t="shared" si="48"/>
        <v>21398947.52</v>
      </c>
    </row>
    <row r="110" spans="1:20">
      <c r="A110" s="40" t="s">
        <v>121</v>
      </c>
      <c r="B110" s="43">
        <f>VLOOKUP(A110,[1]ticket_pivot!$A$6:$V$127,2,FALSE)</f>
        <v>2147288.19</v>
      </c>
      <c r="C110" s="43">
        <f>VLOOKUP(A110,[1]ticket_pivot!$A$6:$V$127,3,FALSE)</f>
        <v>981184.01</v>
      </c>
      <c r="D110" s="44">
        <f t="shared" si="29"/>
        <v>0.456940998683554</v>
      </c>
      <c r="E110" s="43">
        <f>VLOOKUP(A110,[1]ticket_pivot!$A$6:$V$127,4,FALSE)</f>
        <v>975966.62</v>
      </c>
      <c r="F110" s="44">
        <f t="shared" si="30"/>
        <v>0.994682557046562</v>
      </c>
      <c r="G110" s="43">
        <f>VLOOKUP(A110,[1]Sheet12!$A$5:$G$125,2,FALSE)</f>
        <v>10995714.11</v>
      </c>
      <c r="H110" s="43">
        <f>VLOOKUP(A110,[1]NPL!$A$5:$H$119,2,FALSE)</f>
        <v>0</v>
      </c>
      <c r="I110" s="44">
        <f t="shared" si="31"/>
        <v>0</v>
      </c>
      <c r="J110" s="43">
        <f>VLOOKUP(A110,[1]PAR!$A$5:$H$120,2,FALSE)</f>
        <v>0</v>
      </c>
      <c r="K110" s="44">
        <f t="shared" si="32"/>
        <v>0</v>
      </c>
      <c r="L110" s="43">
        <f>VLOOKUP(A110,[1]ticket_pivot!$A$6:$V$127,5,FALSE)</f>
        <v>9149605.97</v>
      </c>
      <c r="M110" s="43">
        <f>VLOOKUP(A110,[1]ticket_pivot!$A$6:$V$127,6,FALSE)</f>
        <v>7731787.18</v>
      </c>
      <c r="N110" s="44">
        <f t="shared" si="33"/>
        <v>0.845040453692892</v>
      </c>
      <c r="O110" s="43">
        <f>VLOOKUP(A110,[1]ticket_pivot!$A$6:$V$127,7,FALSE)</f>
        <v>7570516.32</v>
      </c>
      <c r="P110" s="44">
        <f t="shared" si="34"/>
        <v>0.979141839235156</v>
      </c>
      <c r="Q110" s="43">
        <f>VLOOKUP(A110,[1]Sheet12!$A$5:$G$125,3,FALSE)</f>
        <v>9564454.93</v>
      </c>
      <c r="R110" s="43">
        <f>VLOOKUP(A110,[1]NPL!$A$5:$H$119,3,FALSE)</f>
        <v>559373.11</v>
      </c>
      <c r="S110" s="44">
        <f t="shared" si="35"/>
        <v>0.0584845779601577</v>
      </c>
      <c r="T110" s="43">
        <f>VLOOKUP(A110,[1]PAR!$A$5:$H$120,3,FALSE)</f>
        <v>1386290.36</v>
      </c>
    </row>
    <row r="111" spans="1:20">
      <c r="A111" s="40" t="s">
        <v>122</v>
      </c>
      <c r="B111" s="43">
        <f>VLOOKUP(A111,[1]ticket_pivot!$A$6:$V$127,2,FALSE)</f>
        <v>3375396.32</v>
      </c>
      <c r="C111" s="43">
        <f>VLOOKUP(A111,[1]ticket_pivot!$A$6:$V$127,3,FALSE)</f>
        <v>2019703.4</v>
      </c>
      <c r="D111" s="44">
        <f t="shared" si="29"/>
        <v>0.598360372686547</v>
      </c>
      <c r="E111" s="43">
        <f>VLOOKUP(A111,[1]ticket_pivot!$A$6:$V$127,4,FALSE)</f>
        <v>2016615.87</v>
      </c>
      <c r="F111" s="44">
        <f t="shared" si="30"/>
        <v>0.998471295339702</v>
      </c>
      <c r="G111" s="43">
        <f>VLOOKUP(A111,[1]Sheet12!$A$5:$G$125,2,FALSE)</f>
        <v>24550445.91</v>
      </c>
      <c r="H111" s="43">
        <f>VLOOKUP(A111,[1]NPL!$A$5:$H$119,2,FALSE)</f>
        <v>1268144.02</v>
      </c>
      <c r="I111" s="44">
        <f t="shared" si="31"/>
        <v>0.0516546226756498</v>
      </c>
      <c r="J111" s="43">
        <f>VLOOKUP(A111,[1]PAR!$A$5:$H$120,2,FALSE)</f>
        <v>2006743.72</v>
      </c>
      <c r="K111" s="44">
        <f t="shared" si="32"/>
        <v>0.0817396037268147</v>
      </c>
      <c r="L111" s="43">
        <f>VLOOKUP(A111,[1]ticket_pivot!$A$6:$V$127,5,FALSE)</f>
        <v>15569104.05</v>
      </c>
      <c r="M111" s="43">
        <f>VLOOKUP(A111,[1]ticket_pivot!$A$6:$V$127,6,FALSE)</f>
        <v>11592431.44</v>
      </c>
      <c r="N111" s="44">
        <f t="shared" si="33"/>
        <v>0.744579225803299</v>
      </c>
      <c r="O111" s="43">
        <f>VLOOKUP(A111,[1]ticket_pivot!$A$6:$V$127,7,FALSE)</f>
        <v>11301950.34</v>
      </c>
      <c r="P111" s="44">
        <f t="shared" si="34"/>
        <v>0.974942176582759</v>
      </c>
      <c r="Q111" s="43">
        <f>VLOOKUP(A111,[1]Sheet12!$A$5:$G$125,3,FALSE)</f>
        <v>35336393.22</v>
      </c>
      <c r="R111" s="43">
        <f>VLOOKUP(A111,[1]NPL!$A$5:$H$119,3,FALSE)</f>
        <v>1580129.62</v>
      </c>
      <c r="S111" s="44">
        <f t="shared" si="35"/>
        <v>0.0447167771244311</v>
      </c>
      <c r="T111" s="43">
        <f>VLOOKUP(A111,[1]PAR!$A$5:$H$120,3,FALSE)</f>
        <v>5257265.02</v>
      </c>
    </row>
    <row r="112" spans="1:20">
      <c r="A112" s="45" t="s">
        <v>123</v>
      </c>
      <c r="B112" s="46">
        <f>SUM(B110:B111)</f>
        <v>5522684.51</v>
      </c>
      <c r="C112" s="46">
        <f t="shared" ref="C112:T112" si="49">SUM(C110:C111)</f>
        <v>3000887.41</v>
      </c>
      <c r="D112" s="47">
        <f t="shared" si="29"/>
        <v>0.543374767210811</v>
      </c>
      <c r="E112" s="46">
        <f t="shared" si="49"/>
        <v>2992582.49</v>
      </c>
      <c r="F112" s="47">
        <f t="shared" si="30"/>
        <v>0.997232511965519</v>
      </c>
      <c r="G112" s="46">
        <f t="shared" si="49"/>
        <v>35546160.02</v>
      </c>
      <c r="H112" s="46">
        <f t="shared" si="49"/>
        <v>1268144.02</v>
      </c>
      <c r="I112" s="47">
        <f t="shared" si="31"/>
        <v>0.0356759779195975</v>
      </c>
      <c r="J112" s="46">
        <f t="shared" si="49"/>
        <v>2006743.72</v>
      </c>
      <c r="K112" s="47">
        <f t="shared" si="32"/>
        <v>0.056454585217388</v>
      </c>
      <c r="L112" s="46">
        <f t="shared" si="49"/>
        <v>24718710.02</v>
      </c>
      <c r="M112" s="46">
        <f t="shared" si="49"/>
        <v>19324218.62</v>
      </c>
      <c r="N112" s="47">
        <f t="shared" si="33"/>
        <v>0.781764849555851</v>
      </c>
      <c r="O112" s="46">
        <f t="shared" si="49"/>
        <v>18872466.66</v>
      </c>
      <c r="P112" s="47">
        <f t="shared" si="34"/>
        <v>0.976622497970891</v>
      </c>
      <c r="Q112" s="46">
        <f t="shared" si="49"/>
        <v>44900848.15</v>
      </c>
      <c r="R112" s="46">
        <f t="shared" si="49"/>
        <v>2139502.73</v>
      </c>
      <c r="S112" s="47">
        <f t="shared" si="35"/>
        <v>0.0476494947902226</v>
      </c>
      <c r="T112" s="46">
        <f t="shared" si="49"/>
        <v>6643555.38</v>
      </c>
    </row>
    <row r="113" spans="1:20">
      <c r="A113" s="48" t="s">
        <v>124</v>
      </c>
      <c r="B113" s="49">
        <f>SUM(B112,B109,B104)</f>
        <v>14100012.23</v>
      </c>
      <c r="C113" s="49">
        <f t="shared" ref="C113:T113" si="50">SUM(C112,C109,C104)</f>
        <v>8010476.3</v>
      </c>
      <c r="D113" s="50">
        <f t="shared" si="29"/>
        <v>0.568118393752627</v>
      </c>
      <c r="E113" s="49">
        <f t="shared" si="50"/>
        <v>7842735.65</v>
      </c>
      <c r="F113" s="50">
        <f t="shared" si="30"/>
        <v>0.979059840673894</v>
      </c>
      <c r="G113" s="49">
        <f t="shared" si="50"/>
        <v>92393546.16</v>
      </c>
      <c r="H113" s="49">
        <f t="shared" si="50"/>
        <v>3262885.98</v>
      </c>
      <c r="I113" s="50">
        <f t="shared" si="31"/>
        <v>0.0353150854752299</v>
      </c>
      <c r="J113" s="49">
        <f t="shared" si="50"/>
        <v>5649789.88</v>
      </c>
      <c r="K113" s="50">
        <f t="shared" si="32"/>
        <v>0.0611491831931219</v>
      </c>
      <c r="L113" s="49">
        <f t="shared" si="50"/>
        <v>99348667.29</v>
      </c>
      <c r="M113" s="49">
        <f t="shared" si="50"/>
        <v>65534246.83</v>
      </c>
      <c r="N113" s="50">
        <f t="shared" si="33"/>
        <v>0.659638912303722</v>
      </c>
      <c r="O113" s="49">
        <f t="shared" si="50"/>
        <v>63283729.34</v>
      </c>
      <c r="P113" s="50">
        <f t="shared" si="34"/>
        <v>0.965658909671488</v>
      </c>
      <c r="Q113" s="49">
        <f t="shared" si="50"/>
        <v>387434582.07</v>
      </c>
      <c r="R113" s="49">
        <f t="shared" si="50"/>
        <v>25868731.69</v>
      </c>
      <c r="S113" s="50">
        <f t="shared" si="35"/>
        <v>0.066769289286949</v>
      </c>
      <c r="T113" s="49">
        <f t="shared" si="50"/>
        <v>52784996.72</v>
      </c>
    </row>
    <row r="114" spans="1:20">
      <c r="A114" s="51" t="s">
        <v>125</v>
      </c>
      <c r="B114" s="52">
        <f>SUM(B113,B99,B90)</f>
        <v>47949453.47</v>
      </c>
      <c r="C114" s="52">
        <f t="shared" ref="C114:T114" si="51">SUM(C113,C99,C90)</f>
        <v>24585941.37</v>
      </c>
      <c r="D114" s="53">
        <f t="shared" si="29"/>
        <v>0.512747061556862</v>
      </c>
      <c r="E114" s="52">
        <f t="shared" si="51"/>
        <v>23876470.26</v>
      </c>
      <c r="F114" s="53">
        <f t="shared" si="30"/>
        <v>0.971143219642356</v>
      </c>
      <c r="G114" s="52">
        <f t="shared" si="51"/>
        <v>295842336.87</v>
      </c>
      <c r="H114" s="52">
        <f t="shared" si="51"/>
        <v>18032948.5</v>
      </c>
      <c r="I114" s="53">
        <f t="shared" si="31"/>
        <v>0.0609545905119188</v>
      </c>
      <c r="J114" s="52">
        <f t="shared" si="51"/>
        <v>27849243.36</v>
      </c>
      <c r="K114" s="53">
        <f t="shared" si="32"/>
        <v>0.094135422450498</v>
      </c>
      <c r="L114" s="52">
        <f t="shared" si="51"/>
        <v>292601084.71</v>
      </c>
      <c r="M114" s="52">
        <f t="shared" si="51"/>
        <v>193784137.6</v>
      </c>
      <c r="N114" s="53">
        <f t="shared" si="33"/>
        <v>0.662280995274032</v>
      </c>
      <c r="O114" s="52">
        <f t="shared" si="51"/>
        <v>186830268.55</v>
      </c>
      <c r="P114" s="53">
        <f t="shared" si="34"/>
        <v>0.964115385623802</v>
      </c>
      <c r="Q114" s="52">
        <f t="shared" si="51"/>
        <v>1325530906.41</v>
      </c>
      <c r="R114" s="52">
        <f t="shared" si="51"/>
        <v>64047504.5</v>
      </c>
      <c r="S114" s="53">
        <f t="shared" si="35"/>
        <v>0.0483183788399646</v>
      </c>
      <c r="T114" s="52">
        <f t="shared" si="51"/>
        <v>122910423.2</v>
      </c>
    </row>
    <row r="115" spans="1:20">
      <c r="A115" s="40" t="s">
        <v>126</v>
      </c>
      <c r="B115" s="43">
        <f>VLOOKUP(A115,[1]ticket_pivot!$A$6:$V$127,2,FALSE)</f>
        <v>1841950</v>
      </c>
      <c r="C115" s="43">
        <f>VLOOKUP(A115,[1]ticket_pivot!$A$6:$V$127,3,FALSE)</f>
        <v>911860.9</v>
      </c>
      <c r="D115" s="44">
        <f t="shared" si="29"/>
        <v>0.495051928662559</v>
      </c>
      <c r="E115" s="43">
        <f>VLOOKUP(A115,[1]ticket_pivot!$A$6:$V$127,4,FALSE)</f>
        <v>910939.76</v>
      </c>
      <c r="F115" s="44">
        <f t="shared" si="30"/>
        <v>0.998989823996182</v>
      </c>
      <c r="G115" s="43">
        <f>VLOOKUP(A115,[1]Sheet12!$A$5:$G$125,2,FALSE)</f>
        <v>20229214.02</v>
      </c>
      <c r="H115" s="43">
        <f>VLOOKUP(A115,[1]NPL!$A$5:$H$119,2,FALSE)</f>
        <v>1003731.66</v>
      </c>
      <c r="I115" s="44">
        <f t="shared" si="31"/>
        <v>0.0496179267769693</v>
      </c>
      <c r="J115" s="43">
        <f>VLOOKUP(A115,[1]PAR!$A$5:$H$120,2,FALSE)</f>
        <v>1003731.66</v>
      </c>
      <c r="K115" s="44">
        <f t="shared" si="32"/>
        <v>0.0496179267769693</v>
      </c>
      <c r="L115" s="43">
        <f>VLOOKUP(A115,[1]ticket_pivot!$A$6:$V$127,5,FALSE)</f>
        <v>13418213.37</v>
      </c>
      <c r="M115" s="43">
        <f>VLOOKUP(A115,[1]ticket_pivot!$A$6:$V$127,6,FALSE)</f>
        <v>9225886.01000001</v>
      </c>
      <c r="N115" s="44">
        <f t="shared" si="33"/>
        <v>0.687564413800941</v>
      </c>
      <c r="O115" s="43">
        <f>VLOOKUP(A115,[1]ticket_pivot!$A$6:$V$127,7,FALSE)</f>
        <v>8879000.42</v>
      </c>
      <c r="P115" s="44">
        <f t="shared" si="34"/>
        <v>0.962400837206962</v>
      </c>
      <c r="Q115" s="43">
        <f>VLOOKUP(A115,[1]Sheet12!$A$5:$G$125,3,FALSE)</f>
        <v>11588580.23</v>
      </c>
      <c r="R115" s="43">
        <f>VLOOKUP(A115,[1]NPL!$A$5:$H$119,3,FALSE)</f>
        <v>2400445.66</v>
      </c>
      <c r="S115" s="44">
        <f t="shared" si="35"/>
        <v>0.207138891249666</v>
      </c>
      <c r="T115" s="43">
        <f>VLOOKUP(A115,[1]PAR!$A$5:$H$120,3,FALSE)</f>
        <v>4772549.86</v>
      </c>
    </row>
    <row r="116" spans="1:20">
      <c r="A116" s="40" t="s">
        <v>127</v>
      </c>
      <c r="B116" s="43">
        <f>VLOOKUP(A116,[1]ticket_pivot!$A$6:$V$127,2,FALSE)</f>
        <v>729236.33</v>
      </c>
      <c r="C116" s="43">
        <f>VLOOKUP(A116,[1]ticket_pivot!$A$6:$V$127,3,FALSE)</f>
        <v>556561.57</v>
      </c>
      <c r="D116" s="44">
        <f t="shared" si="29"/>
        <v>0.763211522936604</v>
      </c>
      <c r="E116" s="43">
        <f>VLOOKUP(A116,[1]ticket_pivot!$A$6:$V$127,4,FALSE)</f>
        <v>555380.24</v>
      </c>
      <c r="F116" s="44">
        <f t="shared" si="30"/>
        <v>0.997877449569506</v>
      </c>
      <c r="G116" s="43">
        <f>VLOOKUP(A116,[1]Sheet12!$A$5:$G$125,2,FALSE)</f>
        <v>9993354.77</v>
      </c>
      <c r="H116" s="43">
        <f>VLOOKUP(A116,[1]NPL!$A$5:$H$119,2,FALSE)</f>
        <v>0</v>
      </c>
      <c r="I116" s="44">
        <f t="shared" si="31"/>
        <v>0</v>
      </c>
      <c r="J116" s="43">
        <f>VLOOKUP(A116,[1]PAR!$A$5:$H$120,2,FALSE)</f>
        <v>388917.14</v>
      </c>
      <c r="K116" s="44">
        <f t="shared" si="32"/>
        <v>0.0389175756241065</v>
      </c>
      <c r="L116" s="43">
        <f>VLOOKUP(A116,[1]ticket_pivot!$A$6:$V$127,5,FALSE)</f>
        <v>7464025.71</v>
      </c>
      <c r="M116" s="43">
        <f>VLOOKUP(A116,[1]ticket_pivot!$A$6:$V$127,6,FALSE)</f>
        <v>6022285.27</v>
      </c>
      <c r="N116" s="44">
        <f t="shared" si="33"/>
        <v>0.806841442404409</v>
      </c>
      <c r="O116" s="43">
        <f>VLOOKUP(A116,[1]ticket_pivot!$A$6:$V$127,7,FALSE)</f>
        <v>5934799.92</v>
      </c>
      <c r="P116" s="44">
        <f t="shared" si="34"/>
        <v>0.985473064446846</v>
      </c>
      <c r="Q116" s="43">
        <f>VLOOKUP(A116,[1]Sheet12!$A$5:$G$125,3,FALSE)</f>
        <v>66356326.91</v>
      </c>
      <c r="R116" s="43">
        <f>VLOOKUP(A116,[1]NPL!$A$5:$H$119,3,FALSE)</f>
        <v>780363.95</v>
      </c>
      <c r="S116" s="44">
        <f t="shared" si="35"/>
        <v>0.0117602041333364</v>
      </c>
      <c r="T116" s="43">
        <f>VLOOKUP(A116,[1]PAR!$A$5:$H$120,3,FALSE)</f>
        <v>780363.95</v>
      </c>
    </row>
    <row r="117" spans="1:20">
      <c r="A117" s="40" t="s">
        <v>128</v>
      </c>
      <c r="B117" s="43">
        <f>VLOOKUP(A117,[1]ticket_pivot!$A$6:$V$127,2,FALSE)</f>
        <v>984508.54</v>
      </c>
      <c r="C117" s="43">
        <f>VLOOKUP(A117,[1]ticket_pivot!$A$6:$V$127,3,FALSE)</f>
        <v>99193.07</v>
      </c>
      <c r="D117" s="44">
        <f t="shared" si="29"/>
        <v>0.100753894933202</v>
      </c>
      <c r="E117" s="43">
        <f>VLOOKUP(A117,[1]ticket_pivot!$A$6:$V$127,4,FALSE)</f>
        <v>99180.5</v>
      </c>
      <c r="F117" s="44">
        <f t="shared" si="30"/>
        <v>0.999873277437628</v>
      </c>
      <c r="G117" s="43">
        <f>VLOOKUP(A117,[1]Sheet12!$A$5:$G$125,2,FALSE)</f>
        <v>1798733.12</v>
      </c>
      <c r="H117" s="43">
        <f>VLOOKUP(A117,[1]NPL!$A$5:$H$119,2,FALSE)</f>
        <v>740981.15</v>
      </c>
      <c r="I117" s="44">
        <f t="shared" si="31"/>
        <v>0.411946131286002</v>
      </c>
      <c r="J117" s="43">
        <f>VLOOKUP(A117,[1]PAR!$A$5:$H$120,2,FALSE)</f>
        <v>970404.38</v>
      </c>
      <c r="K117" s="44">
        <f t="shared" si="32"/>
        <v>0.539493251783789</v>
      </c>
      <c r="L117" s="43">
        <f>VLOOKUP(A117,[1]ticket_pivot!$A$6:$V$127,5,FALSE)</f>
        <v>19096070.76</v>
      </c>
      <c r="M117" s="43">
        <f>VLOOKUP(A117,[1]ticket_pivot!$A$6:$V$127,6,FALSE)</f>
        <v>7469603.73</v>
      </c>
      <c r="N117" s="44">
        <f t="shared" si="33"/>
        <v>0.391159198343901</v>
      </c>
      <c r="O117" s="43">
        <f>VLOOKUP(A117,[1]ticket_pivot!$A$6:$V$127,7,FALSE)</f>
        <v>6860730.15</v>
      </c>
      <c r="P117" s="44">
        <f t="shared" si="34"/>
        <v>0.918486495132988</v>
      </c>
      <c r="Q117" s="43">
        <f>VLOOKUP(A117,[1]Sheet12!$A$5:$G$125,3,FALSE)</f>
        <v>40284835.5</v>
      </c>
      <c r="R117" s="43">
        <f>VLOOKUP(A117,[1]NPL!$A$5:$H$119,3,FALSE)</f>
        <v>10865174.88</v>
      </c>
      <c r="S117" s="44">
        <f t="shared" si="35"/>
        <v>0.269708805935176</v>
      </c>
      <c r="T117" s="43">
        <f>VLOOKUP(A117,[1]PAR!$A$5:$H$120,3,FALSE)</f>
        <v>15471904.54</v>
      </c>
    </row>
    <row r="118" spans="1:20">
      <c r="A118" s="40" t="s">
        <v>129</v>
      </c>
      <c r="B118" s="43">
        <f>VLOOKUP(A118,[1]ticket_pivot!$A$6:$V$127,2,FALSE)</f>
        <v>923991.36</v>
      </c>
      <c r="C118" s="43">
        <f>VLOOKUP(A118,[1]ticket_pivot!$A$6:$V$127,3,FALSE)</f>
        <v>628876.33</v>
      </c>
      <c r="D118" s="44">
        <f t="shared" si="29"/>
        <v>0.680608452875577</v>
      </c>
      <c r="E118" s="43">
        <f>VLOOKUP(A118,[1]ticket_pivot!$A$6:$V$127,4,FALSE)</f>
        <v>628241.57</v>
      </c>
      <c r="F118" s="44">
        <f t="shared" si="30"/>
        <v>0.998990644154154</v>
      </c>
      <c r="G118" s="43">
        <f>VLOOKUP(A118,[1]Sheet12!$A$5:$G$125,2,FALSE)</f>
        <v>13557394.53</v>
      </c>
      <c r="H118" s="43">
        <f>VLOOKUP(A118,[1]NPL!$A$5:$H$119,2,FALSE)</f>
        <v>0</v>
      </c>
      <c r="I118" s="44">
        <f t="shared" si="31"/>
        <v>0</v>
      </c>
      <c r="J118" s="43">
        <f>VLOOKUP(A118,[1]PAR!$A$5:$H$120,2,FALSE)</f>
        <v>0</v>
      </c>
      <c r="K118" s="44">
        <f t="shared" si="32"/>
        <v>0</v>
      </c>
      <c r="L118" s="43">
        <f>VLOOKUP(A118,[1]ticket_pivot!$A$6:$V$127,5,FALSE)</f>
        <v>11723449.66</v>
      </c>
      <c r="M118" s="43">
        <f>VLOOKUP(A118,[1]ticket_pivot!$A$6:$V$127,6,FALSE)</f>
        <v>10660361.58</v>
      </c>
      <c r="N118" s="44">
        <f t="shared" si="33"/>
        <v>0.909319516794854</v>
      </c>
      <c r="O118" s="43">
        <f>VLOOKUP(A118,[1]ticket_pivot!$A$6:$V$127,7,FALSE)</f>
        <v>10238072.85</v>
      </c>
      <c r="P118" s="44">
        <f t="shared" si="34"/>
        <v>0.960387016253533</v>
      </c>
      <c r="Q118" s="43">
        <f>VLOOKUP(A118,[1]Sheet12!$A$5:$G$125,3,FALSE)</f>
        <v>87383524.24</v>
      </c>
      <c r="R118" s="43">
        <f>VLOOKUP(A118,[1]NPL!$A$5:$H$119,3,FALSE)</f>
        <v>224644.22</v>
      </c>
      <c r="S118" s="44">
        <f t="shared" si="35"/>
        <v>0.00257078461819658</v>
      </c>
      <c r="T118" s="43">
        <f>VLOOKUP(A118,[1]PAR!$A$5:$H$120,3,FALSE)</f>
        <v>1241221.85</v>
      </c>
    </row>
    <row r="119" spans="1:20">
      <c r="A119" s="45" t="s">
        <v>130</v>
      </c>
      <c r="B119" s="46">
        <f>SUM(B115:B118)</f>
        <v>4479686.23</v>
      </c>
      <c r="C119" s="46">
        <f t="shared" ref="C119:T119" si="52">SUM(C115:C118)</f>
        <v>2196491.87</v>
      </c>
      <c r="D119" s="47">
        <f t="shared" si="29"/>
        <v>0.490322705034634</v>
      </c>
      <c r="E119" s="46">
        <f t="shared" si="52"/>
        <v>2193742.07</v>
      </c>
      <c r="F119" s="47">
        <f t="shared" si="30"/>
        <v>0.998748094615074</v>
      </c>
      <c r="G119" s="46">
        <f t="shared" si="52"/>
        <v>45578696.44</v>
      </c>
      <c r="H119" s="46">
        <f t="shared" si="52"/>
        <v>1744712.81</v>
      </c>
      <c r="I119" s="47">
        <f t="shared" si="31"/>
        <v>0.0382791292045122</v>
      </c>
      <c r="J119" s="46">
        <f t="shared" si="52"/>
        <v>2363053.18</v>
      </c>
      <c r="K119" s="47">
        <f t="shared" si="32"/>
        <v>0.0518455630496307</v>
      </c>
      <c r="L119" s="46">
        <f t="shared" si="52"/>
        <v>51701759.5</v>
      </c>
      <c r="M119" s="46">
        <f t="shared" si="52"/>
        <v>33378136.59</v>
      </c>
      <c r="N119" s="47">
        <f t="shared" si="33"/>
        <v>0.645589955018842</v>
      </c>
      <c r="O119" s="46">
        <f t="shared" si="52"/>
        <v>31912603.34</v>
      </c>
      <c r="P119" s="47">
        <f t="shared" si="34"/>
        <v>0.956093017773824</v>
      </c>
      <c r="Q119" s="46">
        <f t="shared" si="52"/>
        <v>205613266.88</v>
      </c>
      <c r="R119" s="46">
        <f t="shared" si="52"/>
        <v>14270628.71</v>
      </c>
      <c r="S119" s="47">
        <f t="shared" si="35"/>
        <v>0.0694051941615646</v>
      </c>
      <c r="T119" s="46">
        <f t="shared" si="52"/>
        <v>22266040.2</v>
      </c>
    </row>
    <row r="120" spans="1:20">
      <c r="A120" s="40" t="s">
        <v>131</v>
      </c>
      <c r="B120" s="43">
        <f>VLOOKUP(A120,[1]ticket_pivot!$A$6:$V$127,2,FALSE)</f>
        <v>1027526.26</v>
      </c>
      <c r="C120" s="43">
        <f>VLOOKUP(A120,[1]ticket_pivot!$A$6:$V$127,3,FALSE)</f>
        <v>27536.78</v>
      </c>
      <c r="D120" s="44">
        <f t="shared" si="29"/>
        <v>0.0267991009786942</v>
      </c>
      <c r="E120" s="43">
        <f>VLOOKUP(A120,[1]ticket_pivot!$A$6:$V$127,4,FALSE)</f>
        <v>27536.78</v>
      </c>
      <c r="F120" s="44">
        <f t="shared" si="30"/>
        <v>1</v>
      </c>
      <c r="G120" s="43">
        <f>VLOOKUP(A120,[1]Sheet12!$A$5:$G$125,2,FALSE)</f>
        <v>1738500.91</v>
      </c>
      <c r="H120" s="43">
        <f>VLOOKUP(A120,[1]NPL!$A$5:$H$119,2,FALSE)</f>
        <v>852086.38</v>
      </c>
      <c r="I120" s="44">
        <f t="shared" si="31"/>
        <v>0.490127083108631</v>
      </c>
      <c r="J120" s="43">
        <f>VLOOKUP(A120,[1]PAR!$A$5:$H$120,2,FALSE)</f>
        <v>852086.38</v>
      </c>
      <c r="K120" s="44">
        <f t="shared" si="32"/>
        <v>0.490127083108631</v>
      </c>
      <c r="L120" s="43">
        <f>VLOOKUP(A120,[1]ticket_pivot!$A$6:$V$127,5,FALSE)</f>
        <v>17637105.54</v>
      </c>
      <c r="M120" s="43">
        <f>VLOOKUP(A120,[1]ticket_pivot!$A$6:$V$127,6,FALSE)</f>
        <v>7027276.37</v>
      </c>
      <c r="N120" s="44">
        <f t="shared" si="33"/>
        <v>0.39843705386139</v>
      </c>
      <c r="O120" s="43">
        <f>VLOOKUP(A120,[1]ticket_pivot!$A$6:$V$127,7,FALSE)</f>
        <v>6914181.71</v>
      </c>
      <c r="P120" s="44">
        <f t="shared" si="34"/>
        <v>0.983906330981544</v>
      </c>
      <c r="Q120" s="43">
        <f>VLOOKUP(A120,[1]Sheet12!$A$5:$G$125,3,FALSE)</f>
        <v>137677494.02</v>
      </c>
      <c r="R120" s="43">
        <f>VLOOKUP(A120,[1]NPL!$A$5:$H$119,3,FALSE)</f>
        <v>9378538.19</v>
      </c>
      <c r="S120" s="44">
        <f t="shared" si="35"/>
        <v>0.0681196172021958</v>
      </c>
      <c r="T120" s="43">
        <f>VLOOKUP(A120,[1]PAR!$A$5:$H$120,3,FALSE)</f>
        <v>11130359.4</v>
      </c>
    </row>
    <row r="121" spans="1:20">
      <c r="A121" s="40" t="s">
        <v>132</v>
      </c>
      <c r="B121" s="43">
        <f>VLOOKUP(A121,[1]ticket_pivot!$A$6:$V$127,2,FALSE)</f>
        <v>2039478.08</v>
      </c>
      <c r="C121" s="43">
        <f>VLOOKUP(A121,[1]ticket_pivot!$A$6:$V$127,3,FALSE)</f>
        <v>983879.69</v>
      </c>
      <c r="D121" s="44">
        <f t="shared" si="29"/>
        <v>0.482417388864508</v>
      </c>
      <c r="E121" s="43">
        <f>VLOOKUP(A121,[1]ticket_pivot!$A$6:$V$127,4,FALSE)</f>
        <v>983186.68</v>
      </c>
      <c r="F121" s="44">
        <f t="shared" si="30"/>
        <v>0.999295635424693</v>
      </c>
      <c r="G121" s="43">
        <f>VLOOKUP(A121,[1]Sheet12!$A$5:$G$125,2,FALSE)</f>
        <v>13595125.15</v>
      </c>
      <c r="H121" s="43">
        <f>VLOOKUP(A121,[1]NPL!$A$5:$H$119,2,FALSE)</f>
        <v>602659.85</v>
      </c>
      <c r="I121" s="44">
        <f t="shared" si="31"/>
        <v>0.0443291138073856</v>
      </c>
      <c r="J121" s="43">
        <f>VLOOKUP(A121,[1]PAR!$A$5:$H$120,2,FALSE)</f>
        <v>803716.68</v>
      </c>
      <c r="K121" s="44">
        <f t="shared" si="32"/>
        <v>0.0591180052505806</v>
      </c>
      <c r="L121" s="43">
        <f>VLOOKUP(A121,[1]ticket_pivot!$A$6:$V$127,5,FALSE)</f>
        <v>14659413.9</v>
      </c>
      <c r="M121" s="43">
        <f>VLOOKUP(A121,[1]ticket_pivot!$A$6:$V$127,6,FALSE)</f>
        <v>10539842.35</v>
      </c>
      <c r="N121" s="44">
        <f t="shared" si="33"/>
        <v>0.718981155856443</v>
      </c>
      <c r="O121" s="43">
        <f>VLOOKUP(A121,[1]ticket_pivot!$A$6:$V$127,7,FALSE)</f>
        <v>10221984.04</v>
      </c>
      <c r="P121" s="44">
        <f t="shared" si="34"/>
        <v>0.96984221400617</v>
      </c>
      <c r="Q121" s="43">
        <f>VLOOKUP(A121,[1]Sheet12!$A$5:$G$125,3,FALSE)</f>
        <v>74388207.54</v>
      </c>
      <c r="R121" s="43">
        <f>VLOOKUP(A121,[1]NPL!$A$5:$H$119,3,FALSE)</f>
        <v>2565227.78</v>
      </c>
      <c r="S121" s="44">
        <f t="shared" si="35"/>
        <v>0.0344843338054708</v>
      </c>
      <c r="T121" s="43">
        <f>VLOOKUP(A121,[1]PAR!$A$5:$H$120,3,FALSE)</f>
        <v>7808511.66</v>
      </c>
    </row>
    <row r="122" spans="1:20">
      <c r="A122" s="40" t="s">
        <v>133</v>
      </c>
      <c r="B122" s="43">
        <f>VLOOKUP(A122,[1]ticket_pivot!$A$6:$V$127,2,FALSE)</f>
        <v>372946.62</v>
      </c>
      <c r="C122" s="43">
        <f>VLOOKUP(A122,[1]ticket_pivot!$A$6:$V$127,3,FALSE)</f>
        <v>89315.3</v>
      </c>
      <c r="D122" s="44">
        <f t="shared" si="29"/>
        <v>0.239485479181981</v>
      </c>
      <c r="E122" s="43">
        <f>VLOOKUP(A122,[1]ticket_pivot!$A$6:$V$127,4,FALSE)</f>
        <v>89315.3</v>
      </c>
      <c r="F122" s="44">
        <f t="shared" si="30"/>
        <v>1</v>
      </c>
      <c r="G122" s="43">
        <f>VLOOKUP(A122,[1]Sheet12!$A$5:$G$125,2,FALSE)</f>
        <v>2164276.11</v>
      </c>
      <c r="H122" s="43">
        <f>VLOOKUP(A122,[1]NPL!$A$5:$H$119,2,FALSE)</f>
        <v>567247.36</v>
      </c>
      <c r="I122" s="44">
        <f t="shared" si="31"/>
        <v>0.262095652850874</v>
      </c>
      <c r="J122" s="43">
        <f>VLOOKUP(A122,[1]PAR!$A$5:$H$120,2,FALSE)</f>
        <v>567247.36</v>
      </c>
      <c r="K122" s="44">
        <f t="shared" si="32"/>
        <v>0.262095652850874</v>
      </c>
      <c r="L122" s="43">
        <f>VLOOKUP(A122,[1]ticket_pivot!$A$6:$V$127,5,FALSE)</f>
        <v>7541123.98</v>
      </c>
      <c r="M122" s="43">
        <f>VLOOKUP(A122,[1]ticket_pivot!$A$6:$V$127,6,FALSE)</f>
        <v>4246039.97</v>
      </c>
      <c r="N122" s="44">
        <f t="shared" si="33"/>
        <v>0.563051341054865</v>
      </c>
      <c r="O122" s="43">
        <f>VLOOKUP(A122,[1]ticket_pivot!$A$6:$V$127,7,FALSE)</f>
        <v>4188673.8</v>
      </c>
      <c r="P122" s="44">
        <f t="shared" si="34"/>
        <v>0.986489488934321</v>
      </c>
      <c r="Q122" s="43">
        <f>VLOOKUP(A122,[1]Sheet12!$A$5:$G$125,3,FALSE)</f>
        <v>53774969.17</v>
      </c>
      <c r="R122" s="43">
        <f>VLOOKUP(A122,[1]NPL!$A$5:$H$119,3,FALSE)</f>
        <v>3063601.06</v>
      </c>
      <c r="S122" s="44">
        <f t="shared" si="35"/>
        <v>0.0569707636710115</v>
      </c>
      <c r="T122" s="43">
        <f>VLOOKUP(A122,[1]PAR!$A$5:$H$120,3,FALSE)</f>
        <v>6071092.5</v>
      </c>
    </row>
    <row r="123" spans="1:20">
      <c r="A123" s="45" t="s">
        <v>134</v>
      </c>
      <c r="B123" s="46">
        <f>SUM(B120:B122)</f>
        <v>3439950.96</v>
      </c>
      <c r="C123" s="46">
        <f t="shared" ref="C123:T123" si="53">SUM(C120:C122)</f>
        <v>1100731.77</v>
      </c>
      <c r="D123" s="47">
        <f t="shared" si="29"/>
        <v>0.319984727340415</v>
      </c>
      <c r="E123" s="46">
        <f t="shared" si="53"/>
        <v>1100038.76</v>
      </c>
      <c r="F123" s="47">
        <f t="shared" si="30"/>
        <v>0.999370409741149</v>
      </c>
      <c r="G123" s="46">
        <f t="shared" si="53"/>
        <v>17497902.17</v>
      </c>
      <c r="H123" s="46">
        <f t="shared" si="53"/>
        <v>2021993.59</v>
      </c>
      <c r="I123" s="47">
        <f t="shared" si="31"/>
        <v>0.115556343289351</v>
      </c>
      <c r="J123" s="46">
        <f t="shared" si="53"/>
        <v>2223050.42</v>
      </c>
      <c r="K123" s="47">
        <f t="shared" si="32"/>
        <v>0.12704668241953</v>
      </c>
      <c r="L123" s="46">
        <f t="shared" si="53"/>
        <v>39837643.42</v>
      </c>
      <c r="M123" s="46">
        <f t="shared" si="53"/>
        <v>21813158.69</v>
      </c>
      <c r="N123" s="47">
        <f t="shared" si="33"/>
        <v>0.547551431695605</v>
      </c>
      <c r="O123" s="46">
        <f t="shared" si="53"/>
        <v>21324839.55</v>
      </c>
      <c r="P123" s="47">
        <f t="shared" si="34"/>
        <v>0.977613552125128</v>
      </c>
      <c r="Q123" s="46">
        <f t="shared" si="53"/>
        <v>265840670.73</v>
      </c>
      <c r="R123" s="46">
        <f t="shared" si="53"/>
        <v>15007367.03</v>
      </c>
      <c r="S123" s="47">
        <f t="shared" si="35"/>
        <v>0.0564524870810387</v>
      </c>
      <c r="T123" s="46">
        <f t="shared" si="53"/>
        <v>25009963.56</v>
      </c>
    </row>
    <row r="124" spans="1:20">
      <c r="A124" s="40" t="s">
        <v>135</v>
      </c>
      <c r="B124" s="43">
        <f>VLOOKUP(A124,[1]ticket_pivot!$A$6:$V$127,2,FALSE)</f>
        <v>957688.51</v>
      </c>
      <c r="C124" s="43">
        <f>VLOOKUP(A124,[1]ticket_pivot!$A$6:$V$127,3,FALSE)</f>
        <v>27732.26</v>
      </c>
      <c r="D124" s="44">
        <f t="shared" si="29"/>
        <v>0.0289574947495193</v>
      </c>
      <c r="E124" s="43">
        <f>VLOOKUP(A124,[1]ticket_pivot!$A$6:$V$127,4,FALSE)</f>
        <v>27732.26</v>
      </c>
      <c r="F124" s="44">
        <f t="shared" si="30"/>
        <v>1</v>
      </c>
      <c r="G124" s="43">
        <f>VLOOKUP(A124,[1]Sheet12!$A$5:$G$125,2,FALSE)</f>
        <v>1536855.61</v>
      </c>
      <c r="H124" s="43">
        <f>VLOOKUP(A124,[1]NPL!$A$5:$H$119,2,FALSE)</f>
        <v>797104.31</v>
      </c>
      <c r="I124" s="44">
        <f t="shared" si="31"/>
        <v>0.518659205727206</v>
      </c>
      <c r="J124" s="43">
        <f>VLOOKUP(A124,[1]PAR!$A$5:$H$120,2,FALSE)</f>
        <v>1026191.17</v>
      </c>
      <c r="K124" s="44">
        <f t="shared" si="32"/>
        <v>0.667721263678115</v>
      </c>
      <c r="L124" s="43">
        <f>VLOOKUP(A124,[1]ticket_pivot!$A$6:$V$127,5,FALSE)</f>
        <v>21024593.86</v>
      </c>
      <c r="M124" s="43">
        <f>VLOOKUP(A124,[1]ticket_pivot!$A$6:$V$127,6,FALSE)</f>
        <v>8275343.63</v>
      </c>
      <c r="N124" s="44">
        <f t="shared" si="33"/>
        <v>0.393603019639971</v>
      </c>
      <c r="O124" s="43">
        <f>VLOOKUP(A124,[1]ticket_pivot!$A$6:$V$127,7,FALSE)</f>
        <v>7848176.42</v>
      </c>
      <c r="P124" s="44">
        <f t="shared" si="34"/>
        <v>0.94838072845079</v>
      </c>
      <c r="Q124" s="43">
        <f>VLOOKUP(A124,[1]Sheet12!$A$5:$G$125,3,FALSE)</f>
        <v>55953398.71</v>
      </c>
      <c r="R124" s="43">
        <f>VLOOKUP(A124,[1]NPL!$A$5:$H$119,3,FALSE)</f>
        <v>12983175.54</v>
      </c>
      <c r="S124" s="44">
        <f t="shared" si="35"/>
        <v>0.232035512396491</v>
      </c>
      <c r="T124" s="43">
        <f>VLOOKUP(A124,[1]PAR!$A$5:$H$120,3,FALSE)</f>
        <v>20301295.25</v>
      </c>
    </row>
    <row r="125" spans="1:20">
      <c r="A125" s="40" t="s">
        <v>136</v>
      </c>
      <c r="B125" s="43">
        <f>VLOOKUP(A125,[1]ticket_pivot!$A$6:$V$127,2,FALSE)</f>
        <v>154908.96</v>
      </c>
      <c r="C125" s="43">
        <f>VLOOKUP(A125,[1]ticket_pivot!$A$6:$V$127,3,FALSE)</f>
        <v>21000</v>
      </c>
      <c r="D125" s="44">
        <f t="shared" si="29"/>
        <v>0.13556349484239</v>
      </c>
      <c r="E125" s="43">
        <f>VLOOKUP(A125,[1]ticket_pivot!$A$6:$V$127,4,FALSE)</f>
        <v>21000</v>
      </c>
      <c r="F125" s="44">
        <f t="shared" si="30"/>
        <v>1</v>
      </c>
      <c r="G125" s="43">
        <f>VLOOKUP(A125,[1]Sheet12!$A$5:$G$125,2,FALSE)</f>
        <v>542321.66</v>
      </c>
      <c r="H125" s="43">
        <f>VLOOKUP(A125,[1]NPL!$A$5:$H$119,2,FALSE)</f>
        <v>187158.41</v>
      </c>
      <c r="I125" s="44">
        <f t="shared" si="31"/>
        <v>0.345105910023951</v>
      </c>
      <c r="J125" s="43">
        <f>VLOOKUP(A125,[1]PAR!$A$5:$H$120,2,FALSE)</f>
        <v>187158.41</v>
      </c>
      <c r="K125" s="44">
        <f t="shared" si="32"/>
        <v>0.345105910023951</v>
      </c>
      <c r="L125" s="43">
        <f>VLOOKUP(A125,[1]ticket_pivot!$A$6:$V$127,5,FALSE)</f>
        <v>7708599.25</v>
      </c>
      <c r="M125" s="43">
        <f>VLOOKUP(A125,[1]ticket_pivot!$A$6:$V$127,6,FALSE)</f>
        <v>3455064.93</v>
      </c>
      <c r="N125" s="44">
        <f t="shared" si="33"/>
        <v>0.448209177562318</v>
      </c>
      <c r="O125" s="43">
        <f>VLOOKUP(A125,[1]ticket_pivot!$A$6:$V$127,7,FALSE)</f>
        <v>3319676.59</v>
      </c>
      <c r="P125" s="44">
        <f t="shared" si="34"/>
        <v>0.960814530915342</v>
      </c>
      <c r="Q125" s="43">
        <f>VLOOKUP(A125,[1]Sheet12!$A$5:$G$125,3,FALSE)</f>
        <v>84811968.03</v>
      </c>
      <c r="R125" s="43">
        <f>VLOOKUP(A125,[1]NPL!$A$5:$H$119,3,FALSE)</f>
        <v>4163021.49</v>
      </c>
      <c r="S125" s="44">
        <f t="shared" si="35"/>
        <v>0.0490853070232664</v>
      </c>
      <c r="T125" s="43">
        <f>VLOOKUP(A125,[1]PAR!$A$5:$H$120,3,FALSE)</f>
        <v>5497022.35</v>
      </c>
    </row>
    <row r="126" spans="1:20">
      <c r="A126" s="40" t="s">
        <v>137</v>
      </c>
      <c r="B126" s="43">
        <f>VLOOKUP(A126,[1]ticket_pivot!$A$6:$V$127,2,FALSE)</f>
        <v>658484.57</v>
      </c>
      <c r="C126" s="43">
        <f>VLOOKUP(A126,[1]ticket_pivot!$A$6:$V$127,3,FALSE)</f>
        <v>255297.1</v>
      </c>
      <c r="D126" s="44">
        <f t="shared" si="29"/>
        <v>0.387703997376886</v>
      </c>
      <c r="E126" s="43">
        <f>VLOOKUP(A126,[1]ticket_pivot!$A$6:$V$127,4,FALSE)</f>
        <v>195608.52</v>
      </c>
      <c r="F126" s="44">
        <f t="shared" si="30"/>
        <v>0.766199537715078</v>
      </c>
      <c r="G126" s="43">
        <f>VLOOKUP(A126,[1]Sheet12!$A$5:$G$125,2,FALSE)</f>
        <v>6035712.42</v>
      </c>
      <c r="H126" s="43">
        <f>VLOOKUP(A126,[1]NPL!$A$5:$H$119,2,FALSE)</f>
        <v>0</v>
      </c>
      <c r="I126" s="44">
        <f t="shared" si="31"/>
        <v>0</v>
      </c>
      <c r="J126" s="43">
        <f>VLOOKUP(A126,[1]PAR!$A$5:$H$120,2,FALSE)</f>
        <v>130940.97</v>
      </c>
      <c r="K126" s="44">
        <f t="shared" si="32"/>
        <v>0.02169436859949</v>
      </c>
      <c r="L126" s="43">
        <f>VLOOKUP(A126,[1]ticket_pivot!$A$6:$V$127,5,FALSE)</f>
        <v>9106352.78</v>
      </c>
      <c r="M126" s="43">
        <f>VLOOKUP(A126,[1]ticket_pivot!$A$6:$V$127,6,FALSE)</f>
        <v>4608840.32</v>
      </c>
      <c r="N126" s="44">
        <f t="shared" si="33"/>
        <v>0.506112648097958</v>
      </c>
      <c r="O126" s="43">
        <f>VLOOKUP(A126,[1]ticket_pivot!$A$6:$V$127,7,FALSE)</f>
        <v>4516704.41</v>
      </c>
      <c r="P126" s="44">
        <f t="shared" si="34"/>
        <v>0.98000887346863</v>
      </c>
      <c r="Q126" s="43">
        <f>VLOOKUP(A126,[1]Sheet12!$A$5:$G$125,3,FALSE)</f>
        <v>101786878.3</v>
      </c>
      <c r="R126" s="43">
        <f>VLOOKUP(A126,[1]NPL!$A$5:$H$119,3,FALSE)</f>
        <v>4968237.17</v>
      </c>
      <c r="S126" s="44">
        <f t="shared" si="35"/>
        <v>0.0488101929539183</v>
      </c>
      <c r="T126" s="43">
        <f>VLOOKUP(A126,[1]PAR!$A$5:$H$120,3,FALSE)</f>
        <v>4968237.17</v>
      </c>
    </row>
    <row r="127" spans="1:20">
      <c r="A127" s="45" t="s">
        <v>138</v>
      </c>
      <c r="B127" s="46">
        <f>SUM(B124:B126)</f>
        <v>1771082.04</v>
      </c>
      <c r="C127" s="46">
        <f t="shared" ref="C127:T127" si="54">SUM(C124:C126)</f>
        <v>304029.36</v>
      </c>
      <c r="D127" s="47">
        <f t="shared" si="29"/>
        <v>0.171663058589878</v>
      </c>
      <c r="E127" s="46">
        <f t="shared" si="54"/>
        <v>244340.78</v>
      </c>
      <c r="F127" s="47">
        <f t="shared" si="30"/>
        <v>0.803674947708998</v>
      </c>
      <c r="G127" s="46">
        <f t="shared" si="54"/>
        <v>8114889.69</v>
      </c>
      <c r="H127" s="46">
        <f t="shared" si="54"/>
        <v>984262.72</v>
      </c>
      <c r="I127" s="47">
        <f t="shared" si="31"/>
        <v>0.12129095497292</v>
      </c>
      <c r="J127" s="46">
        <f t="shared" si="54"/>
        <v>1344290.55</v>
      </c>
      <c r="K127" s="47">
        <f t="shared" si="32"/>
        <v>0.165657279563094</v>
      </c>
      <c r="L127" s="46">
        <f t="shared" si="54"/>
        <v>37839545.89</v>
      </c>
      <c r="M127" s="46">
        <f t="shared" si="54"/>
        <v>16339248.88</v>
      </c>
      <c r="N127" s="47">
        <f t="shared" si="33"/>
        <v>0.431803513908396</v>
      </c>
      <c r="O127" s="46">
        <f t="shared" si="54"/>
        <v>15684557.42</v>
      </c>
      <c r="P127" s="47">
        <f t="shared" si="34"/>
        <v>0.959931361300129</v>
      </c>
      <c r="Q127" s="46">
        <f t="shared" si="54"/>
        <v>242552245.04</v>
      </c>
      <c r="R127" s="46">
        <f t="shared" si="54"/>
        <v>22114434.2</v>
      </c>
      <c r="S127" s="47">
        <f t="shared" si="35"/>
        <v>0.0911739002718901</v>
      </c>
      <c r="T127" s="46">
        <f t="shared" si="54"/>
        <v>30766554.77</v>
      </c>
    </row>
    <row r="128" spans="1:20">
      <c r="A128" s="40" t="s">
        <v>139</v>
      </c>
      <c r="B128" s="43">
        <f>VLOOKUP(A128,[1]ticket_pivot!$A$6:$V$127,2,FALSE)</f>
        <v>1003399.6</v>
      </c>
      <c r="C128" s="43">
        <f>VLOOKUP(A128,[1]ticket_pivot!$A$6:$V$127,3,FALSE)</f>
        <v>921780.13</v>
      </c>
      <c r="D128" s="44">
        <f t="shared" si="29"/>
        <v>0.918657063447105</v>
      </c>
      <c r="E128" s="43">
        <f>VLOOKUP(A128,[1]ticket_pivot!$A$6:$V$127,4,FALSE)</f>
        <v>921190.59</v>
      </c>
      <c r="F128" s="44">
        <f t="shared" si="30"/>
        <v>0.999360433165337</v>
      </c>
      <c r="G128" s="43">
        <f>VLOOKUP(A128,[1]Sheet12!$A$5:$G$125,2,FALSE)</f>
        <v>12356127.21</v>
      </c>
      <c r="H128" s="43"/>
      <c r="I128" s="44">
        <f t="shared" si="31"/>
        <v>0</v>
      </c>
      <c r="J128" s="43">
        <f>VLOOKUP(A128,[1]PAR!$A$5:$H$120,2,FALSE)</f>
        <v>0</v>
      </c>
      <c r="K128" s="44">
        <f t="shared" si="32"/>
        <v>0</v>
      </c>
      <c r="L128" s="43">
        <f>VLOOKUP(A128,[1]ticket_pivot!$A$6:$V$127,5,FALSE)</f>
        <v>3893395.17</v>
      </c>
      <c r="M128" s="43">
        <f>VLOOKUP(A128,[1]ticket_pivot!$A$6:$V$127,6,FALSE)</f>
        <v>3139133.43</v>
      </c>
      <c r="N128" s="44">
        <f t="shared" si="33"/>
        <v>0.806271465631884</v>
      </c>
      <c r="O128" s="43">
        <f>VLOOKUP(A128,[1]ticket_pivot!$A$6:$V$127,7,FALSE)</f>
        <v>3136107.97</v>
      </c>
      <c r="P128" s="44">
        <f t="shared" si="34"/>
        <v>0.999036211722928</v>
      </c>
      <c r="Q128" s="43">
        <f>VLOOKUP(A128,[1]Sheet12!$A$5:$G$125,3,FALSE)</f>
        <v>16143081.65</v>
      </c>
      <c r="R128" s="43"/>
      <c r="S128" s="44">
        <f t="shared" si="35"/>
        <v>0</v>
      </c>
      <c r="T128" s="43">
        <f>VLOOKUP(A128,[1]PAR!$A$5:$H$120,3,FALSE)</f>
        <v>1186933.18</v>
      </c>
    </row>
    <row r="129" spans="1:20">
      <c r="A129" s="40" t="s">
        <v>140</v>
      </c>
      <c r="B129" s="43">
        <f>VLOOKUP(A129,[1]ticket_pivot!$A$6:$V$127,2,FALSE)</f>
        <v>3319370.96</v>
      </c>
      <c r="C129" s="43">
        <f>VLOOKUP(A129,[1]ticket_pivot!$A$6:$V$127,3,FALSE)</f>
        <v>2040009.85</v>
      </c>
      <c r="D129" s="44">
        <f t="shared" si="29"/>
        <v>0.61457724206878</v>
      </c>
      <c r="E129" s="43">
        <f>VLOOKUP(A129,[1]ticket_pivot!$A$6:$V$127,4,FALSE)</f>
        <v>1931976.48</v>
      </c>
      <c r="F129" s="44">
        <f t="shared" si="30"/>
        <v>0.94704272138686</v>
      </c>
      <c r="G129" s="43">
        <f>VLOOKUP(A129,[1]Sheet12!$A$5:$G$125,2,FALSE)</f>
        <v>24766178.31</v>
      </c>
      <c r="H129" s="43">
        <f>VLOOKUP(A129,[1]NPL!$A$5:$H$119,2,FALSE)</f>
        <v>792583.16</v>
      </c>
      <c r="I129" s="44">
        <f t="shared" si="31"/>
        <v>0.0320026428817228</v>
      </c>
      <c r="J129" s="43">
        <f>VLOOKUP(A129,[1]PAR!$A$5:$H$120,2,FALSE)</f>
        <v>849795.11</v>
      </c>
      <c r="K129" s="44">
        <f t="shared" si="32"/>
        <v>0.0343127267906681</v>
      </c>
      <c r="L129" s="43">
        <f>VLOOKUP(A129,[1]ticket_pivot!$A$6:$V$127,5,FALSE)</f>
        <v>14447154.53</v>
      </c>
      <c r="M129" s="43">
        <f>VLOOKUP(A129,[1]ticket_pivot!$A$6:$V$127,6,FALSE)</f>
        <v>10582477.7</v>
      </c>
      <c r="N129" s="44">
        <f t="shared" si="33"/>
        <v>0.732495639748653</v>
      </c>
      <c r="O129" s="43">
        <f>VLOOKUP(A129,[1]ticket_pivot!$A$6:$V$127,7,FALSE)</f>
        <v>10237252.49</v>
      </c>
      <c r="P129" s="44">
        <f t="shared" si="34"/>
        <v>0.967377657691639</v>
      </c>
      <c r="Q129" s="43">
        <f>VLOOKUP(A129,[1]Sheet12!$A$5:$G$125,3,FALSE)</f>
        <v>19416002.08</v>
      </c>
      <c r="R129" s="43">
        <f>VLOOKUP(A129,[1]NPL!$A$5:$H$119,3,FALSE)</f>
        <v>1477526.49</v>
      </c>
      <c r="S129" s="44">
        <f t="shared" si="35"/>
        <v>0.0760983895609472</v>
      </c>
      <c r="T129" s="43">
        <f>VLOOKUP(A129,[1]PAR!$A$5:$H$120,3,FALSE)</f>
        <v>4111521.03</v>
      </c>
    </row>
    <row r="130" spans="1:20">
      <c r="A130" s="40" t="s">
        <v>141</v>
      </c>
      <c r="B130" s="43">
        <f>VLOOKUP(A130,[1]ticket_pivot!$A$6:$V$127,2,FALSE)</f>
        <v>3036652.17</v>
      </c>
      <c r="C130" s="43">
        <f>VLOOKUP(A130,[1]ticket_pivot!$A$6:$V$127,3,FALSE)</f>
        <v>1979635.01</v>
      </c>
      <c r="D130" s="44">
        <f t="shared" si="29"/>
        <v>0.651913653317759</v>
      </c>
      <c r="E130" s="43">
        <f>VLOOKUP(A130,[1]ticket_pivot!$A$6:$V$127,4,FALSE)</f>
        <v>1904533.56</v>
      </c>
      <c r="F130" s="44">
        <f t="shared" si="30"/>
        <v>0.962062981498797</v>
      </c>
      <c r="G130" s="43">
        <f>VLOOKUP(A130,[1]Sheet12!$A$5:$G$125,2,FALSE)</f>
        <v>18069454.04</v>
      </c>
      <c r="H130" s="43">
        <f>VLOOKUP(A130,[1]NPL!$A$5:$H$119,2,FALSE)</f>
        <v>872580.33</v>
      </c>
      <c r="I130" s="44">
        <f t="shared" si="31"/>
        <v>0.0482903538794468</v>
      </c>
      <c r="J130" s="43">
        <f>VLOOKUP(A130,[1]PAR!$A$5:$H$120,2,FALSE)</f>
        <v>1128892.82</v>
      </c>
      <c r="K130" s="44">
        <f t="shared" si="32"/>
        <v>0.0624752035950279</v>
      </c>
      <c r="L130" s="43">
        <f>VLOOKUP(A130,[1]ticket_pivot!$A$6:$V$127,5,FALSE)</f>
        <v>9297944.64</v>
      </c>
      <c r="M130" s="43">
        <f>VLOOKUP(A130,[1]ticket_pivot!$A$6:$V$127,6,FALSE)</f>
        <v>6794864</v>
      </c>
      <c r="N130" s="44">
        <f t="shared" si="33"/>
        <v>0.73079204739167</v>
      </c>
      <c r="O130" s="43">
        <f>VLOOKUP(A130,[1]ticket_pivot!$A$6:$V$127,7,FALSE)</f>
        <v>6195349.39</v>
      </c>
      <c r="P130" s="44">
        <f t="shared" si="34"/>
        <v>0.911769446746837</v>
      </c>
      <c r="Q130" s="43">
        <f>VLOOKUP(A130,[1]Sheet12!$A$5:$G$125,3,FALSE)</f>
        <v>14044519.33</v>
      </c>
      <c r="R130" s="43">
        <f>VLOOKUP(A130,[1]NPL!$A$5:$H$119,3,FALSE)</f>
        <v>2086010.44</v>
      </c>
      <c r="S130" s="44">
        <f t="shared" si="35"/>
        <v>0.148528432407377</v>
      </c>
      <c r="T130" s="43">
        <f>VLOOKUP(A130,[1]PAR!$A$5:$H$120,3,FALSE)</f>
        <v>2852545.12</v>
      </c>
    </row>
    <row r="131" spans="1:20">
      <c r="A131" s="45" t="s">
        <v>142</v>
      </c>
      <c r="B131" s="46">
        <f>SUM(B128:B130)</f>
        <v>7359422.73</v>
      </c>
      <c r="C131" s="46">
        <f t="shared" ref="C131:T131" si="55">SUM(C128:C130)</f>
        <v>4941424.99</v>
      </c>
      <c r="D131" s="47">
        <f t="shared" si="29"/>
        <v>0.671441928435058</v>
      </c>
      <c r="E131" s="46">
        <f t="shared" si="55"/>
        <v>4757700.63</v>
      </c>
      <c r="F131" s="47">
        <f t="shared" si="30"/>
        <v>0.962819559060028</v>
      </c>
      <c r="G131" s="46">
        <f t="shared" si="55"/>
        <v>55191759.56</v>
      </c>
      <c r="H131" s="46">
        <f t="shared" si="55"/>
        <v>1665163.49</v>
      </c>
      <c r="I131" s="47">
        <f t="shared" si="31"/>
        <v>0.0301705092078061</v>
      </c>
      <c r="J131" s="46">
        <f t="shared" si="55"/>
        <v>1978687.93</v>
      </c>
      <c r="K131" s="47">
        <f t="shared" si="32"/>
        <v>0.0358511478121826</v>
      </c>
      <c r="L131" s="46">
        <f t="shared" si="55"/>
        <v>27638494.34</v>
      </c>
      <c r="M131" s="46">
        <f t="shared" si="55"/>
        <v>20516475.13</v>
      </c>
      <c r="N131" s="47">
        <f t="shared" si="33"/>
        <v>0.742315224469641</v>
      </c>
      <c r="O131" s="46">
        <f t="shared" si="55"/>
        <v>19568709.85</v>
      </c>
      <c r="P131" s="47">
        <f t="shared" si="34"/>
        <v>0.95380467287901</v>
      </c>
      <c r="Q131" s="46">
        <f t="shared" si="55"/>
        <v>49603603.06</v>
      </c>
      <c r="R131" s="46">
        <f t="shared" si="55"/>
        <v>3563536.93</v>
      </c>
      <c r="S131" s="47">
        <f t="shared" si="35"/>
        <v>0.0718402839747262</v>
      </c>
      <c r="T131" s="46">
        <f t="shared" si="55"/>
        <v>8150999.33</v>
      </c>
    </row>
    <row r="132" spans="1:20">
      <c r="A132" s="48" t="s">
        <v>143</v>
      </c>
      <c r="B132" s="49">
        <f>SUM(B131,B127,B123,B119)</f>
        <v>17050141.96</v>
      </c>
      <c r="C132" s="49">
        <f t="shared" ref="C132:T132" si="56">SUM(C131,C127,C123,C119)</f>
        <v>8542677.99</v>
      </c>
      <c r="D132" s="50">
        <f t="shared" ref="D132:D186" si="57">IFERROR(C132/B132,"")</f>
        <v>0.501032660610176</v>
      </c>
      <c r="E132" s="49">
        <f t="shared" si="56"/>
        <v>8295822.24</v>
      </c>
      <c r="F132" s="50">
        <f t="shared" ref="F132:F186" si="58">IFERROR(E132/C132,"")</f>
        <v>0.971103235977177</v>
      </c>
      <c r="G132" s="49">
        <f t="shared" si="56"/>
        <v>126383247.86</v>
      </c>
      <c r="H132" s="49">
        <f t="shared" si="56"/>
        <v>6416132.61</v>
      </c>
      <c r="I132" s="50">
        <f t="shared" ref="I132:I186" si="59">IFERROR(H132/G132,"")</f>
        <v>0.050767271126846</v>
      </c>
      <c r="J132" s="49">
        <f t="shared" si="56"/>
        <v>7909082.08</v>
      </c>
      <c r="K132" s="50">
        <f t="shared" ref="K132:K186" si="60">IFERROR(J132/G132,"")</f>
        <v>0.0625801458177528</v>
      </c>
      <c r="L132" s="49">
        <f t="shared" si="56"/>
        <v>157017443.15</v>
      </c>
      <c r="M132" s="49">
        <f t="shared" si="56"/>
        <v>92047019.29</v>
      </c>
      <c r="N132" s="50">
        <f t="shared" ref="N132:N186" si="61">IFERROR(M132/L132,"")</f>
        <v>0.586221616168254</v>
      </c>
      <c r="O132" s="49">
        <f t="shared" si="56"/>
        <v>88490710.16</v>
      </c>
      <c r="P132" s="50">
        <f t="shared" ref="P132:P186" si="62">IFERROR(O132/M132,"")</f>
        <v>0.961364211927432</v>
      </c>
      <c r="Q132" s="49">
        <f t="shared" si="56"/>
        <v>763609785.71</v>
      </c>
      <c r="R132" s="49">
        <f t="shared" si="56"/>
        <v>54955966.87</v>
      </c>
      <c r="S132" s="50">
        <f t="shared" ref="S132:S186" si="63">IFERROR(R132/Q132,"")</f>
        <v>0.0719686519193861</v>
      </c>
      <c r="T132" s="49">
        <f t="shared" si="56"/>
        <v>86193557.86</v>
      </c>
    </row>
    <row r="133" spans="1:20">
      <c r="A133" s="40" t="s">
        <v>144</v>
      </c>
      <c r="B133" s="43">
        <f>VLOOKUP(A133,[1]ticket_pivot!$A$6:$V$127,2,FALSE)</f>
        <v>8126674.3</v>
      </c>
      <c r="C133" s="43">
        <f>VLOOKUP(A133,[1]ticket_pivot!$A$6:$V$127,3,FALSE)</f>
        <v>5419092.04</v>
      </c>
      <c r="D133" s="44">
        <f t="shared" si="57"/>
        <v>0.666827762495662</v>
      </c>
      <c r="E133" s="43">
        <f>VLOOKUP(A133,[1]ticket_pivot!$A$6:$V$127,4,FALSE)</f>
        <v>5318590.04</v>
      </c>
      <c r="F133" s="44">
        <f t="shared" si="58"/>
        <v>0.981454088755429</v>
      </c>
      <c r="G133" s="43">
        <f>VLOOKUP(A133,[1]Sheet12!$A$5:$G$125,2,FALSE)</f>
        <v>58456185.38</v>
      </c>
      <c r="H133" s="43">
        <f>VLOOKUP(A133,[1]NPL!$A$5:$H$119,2,FALSE)</f>
        <v>2390137.09</v>
      </c>
      <c r="I133" s="44">
        <f t="shared" si="59"/>
        <v>0.0408876678227066</v>
      </c>
      <c r="J133" s="43">
        <f>VLOOKUP(A133,[1]PAR!$A$5:$H$120,2,FALSE)</f>
        <v>3886181.54</v>
      </c>
      <c r="K133" s="44">
        <f t="shared" si="60"/>
        <v>0.0664802452424411</v>
      </c>
      <c r="L133" s="43">
        <f>VLOOKUP(A133,[1]ticket_pivot!$A$6:$V$127,5,FALSE)</f>
        <v>23910851.71</v>
      </c>
      <c r="M133" s="43">
        <f>VLOOKUP(A133,[1]ticket_pivot!$A$6:$V$127,6,FALSE)</f>
        <v>20326567.58</v>
      </c>
      <c r="N133" s="44">
        <f t="shared" si="61"/>
        <v>0.850098015182747</v>
      </c>
      <c r="O133" s="43">
        <f>VLOOKUP(A133,[1]ticket_pivot!$A$6:$V$127,7,FALSE)</f>
        <v>20091857.72</v>
      </c>
      <c r="P133" s="44">
        <f t="shared" si="62"/>
        <v>0.988453049976282</v>
      </c>
      <c r="Q133" s="43">
        <f>VLOOKUP(A133,[1]Sheet12!$A$5:$G$125,3,FALSE)</f>
        <v>10027098.08</v>
      </c>
      <c r="R133" s="43">
        <f>VLOOKUP(A133,[1]NPL!$A$5:$H$119,3,FALSE)</f>
        <v>1769197.98</v>
      </c>
      <c r="S133" s="44">
        <f t="shared" si="63"/>
        <v>0.17644167493772</v>
      </c>
      <c r="T133" s="43">
        <f>VLOOKUP(A133,[1]PAR!$A$5:$H$120,3,FALSE)</f>
        <v>3190843.52</v>
      </c>
    </row>
    <row r="134" spans="1:20">
      <c r="A134" s="40" t="s">
        <v>145</v>
      </c>
      <c r="B134" s="43">
        <f>VLOOKUP(A134,[1]ticket_pivot!$A$6:$V$127,2,FALSE)</f>
        <v>5348151.27</v>
      </c>
      <c r="C134" s="43">
        <f>VLOOKUP(A134,[1]ticket_pivot!$A$6:$V$127,3,FALSE)</f>
        <v>3821770.82</v>
      </c>
      <c r="D134" s="44">
        <f t="shared" si="57"/>
        <v>0.714596619852154</v>
      </c>
      <c r="E134" s="43">
        <f>VLOOKUP(A134,[1]ticket_pivot!$A$6:$V$127,4,FALSE)</f>
        <v>3690243.57</v>
      </c>
      <c r="F134" s="44">
        <f t="shared" si="58"/>
        <v>0.965584736449477</v>
      </c>
      <c r="G134" s="43">
        <f>VLOOKUP(A134,[1]Sheet12!$A$5:$G$125,2,FALSE)</f>
        <v>39777792.74</v>
      </c>
      <c r="H134" s="43">
        <f>VLOOKUP(A134,[1]NPL!$A$5:$H$119,2,FALSE)</f>
        <v>1650043.7</v>
      </c>
      <c r="I134" s="44">
        <f t="shared" si="59"/>
        <v>0.0414815299276457</v>
      </c>
      <c r="J134" s="43">
        <f>VLOOKUP(A134,[1]PAR!$A$5:$H$120,2,FALSE)</f>
        <v>1933011.38</v>
      </c>
      <c r="K134" s="44">
        <f t="shared" si="60"/>
        <v>0.0485952398775559</v>
      </c>
      <c r="L134" s="43">
        <f>VLOOKUP(A134,[1]ticket_pivot!$A$6:$V$127,5,FALSE)</f>
        <v>24107453.62</v>
      </c>
      <c r="M134" s="43">
        <f>VLOOKUP(A134,[1]ticket_pivot!$A$6:$V$127,6,FALSE)</f>
        <v>17603849.71</v>
      </c>
      <c r="N134" s="44">
        <f t="shared" si="61"/>
        <v>0.730224352496338</v>
      </c>
      <c r="O134" s="43">
        <f>VLOOKUP(A134,[1]ticket_pivot!$A$6:$V$127,7,FALSE)</f>
        <v>17204491.86</v>
      </c>
      <c r="P134" s="44">
        <f t="shared" si="62"/>
        <v>0.977314175218554</v>
      </c>
      <c r="Q134" s="43">
        <f>VLOOKUP(A134,[1]Sheet12!$A$5:$G$125,3,FALSE)</f>
        <v>25737153.35</v>
      </c>
      <c r="R134" s="43">
        <f>VLOOKUP(A134,[1]NPL!$A$5:$H$119,3,FALSE)</f>
        <v>5587591.88</v>
      </c>
      <c r="S134" s="44">
        <f t="shared" si="63"/>
        <v>0.217102171480048</v>
      </c>
      <c r="T134" s="43">
        <f>VLOOKUP(A134,[1]PAR!$A$5:$H$120,3,FALSE)</f>
        <v>7735311.71</v>
      </c>
    </row>
    <row r="135" spans="1:20">
      <c r="A135" s="40" t="s">
        <v>146</v>
      </c>
      <c r="B135" s="43">
        <f>VLOOKUP(A135,[1]ticket_pivot!$A$6:$V$127,2,FALSE)</f>
        <v>4365045.43</v>
      </c>
      <c r="C135" s="43">
        <f>VLOOKUP(A135,[1]ticket_pivot!$A$6:$V$127,3,FALSE)</f>
        <v>2660992.58</v>
      </c>
      <c r="D135" s="44">
        <f t="shared" si="57"/>
        <v>0.609613948508206</v>
      </c>
      <c r="E135" s="43">
        <f>VLOOKUP(A135,[1]ticket_pivot!$A$6:$V$127,4,FALSE)</f>
        <v>2505774.99</v>
      </c>
      <c r="F135" s="44">
        <f t="shared" si="58"/>
        <v>0.941669288683248</v>
      </c>
      <c r="G135" s="43">
        <f>VLOOKUP(A135,[1]Sheet12!$A$5:$G$125,2,FALSE)</f>
        <v>28726942.32</v>
      </c>
      <c r="H135" s="43">
        <f>VLOOKUP(A135,[1]NPL!$A$5:$H$119,2,FALSE)</f>
        <v>1234251.98</v>
      </c>
      <c r="I135" s="44">
        <f t="shared" si="59"/>
        <v>0.042964961820552</v>
      </c>
      <c r="J135" s="43">
        <f>VLOOKUP(A135,[1]PAR!$A$5:$H$120,2,FALSE)</f>
        <v>2246622.91</v>
      </c>
      <c r="K135" s="44">
        <f t="shared" si="60"/>
        <v>0.0782061273690057</v>
      </c>
      <c r="L135" s="43">
        <f>VLOOKUP(A135,[1]ticket_pivot!$A$6:$V$127,5,FALSE)</f>
        <v>13742802.39</v>
      </c>
      <c r="M135" s="43">
        <f>VLOOKUP(A135,[1]ticket_pivot!$A$6:$V$127,6,FALSE)</f>
        <v>9229669.15</v>
      </c>
      <c r="N135" s="44">
        <f t="shared" si="61"/>
        <v>0.671600223016813</v>
      </c>
      <c r="O135" s="43">
        <f>VLOOKUP(A135,[1]ticket_pivot!$A$6:$V$127,7,FALSE)</f>
        <v>8803494.85</v>
      </c>
      <c r="P135" s="44">
        <f t="shared" si="62"/>
        <v>0.953825614648386</v>
      </c>
      <c r="Q135" s="43">
        <f>VLOOKUP(A135,[1]Sheet12!$A$5:$G$125,3,FALSE)</f>
        <v>20044157.56</v>
      </c>
      <c r="R135" s="43">
        <f>VLOOKUP(A135,[1]NPL!$A$5:$H$119,3,FALSE)</f>
        <v>2936979.37</v>
      </c>
      <c r="S135" s="44">
        <f t="shared" si="63"/>
        <v>0.146525458164479</v>
      </c>
      <c r="T135" s="43">
        <f>VLOOKUP(A135,[1]PAR!$A$5:$H$120,3,FALSE)</f>
        <v>6654780.7</v>
      </c>
    </row>
    <row r="136" spans="1:20">
      <c r="A136" s="40" t="s">
        <v>147</v>
      </c>
      <c r="B136" s="43">
        <f>VLOOKUP(A136,[1]ticket_pivot!$A$6:$V$127,2,FALSE)</f>
        <v>2905211.1</v>
      </c>
      <c r="C136" s="43">
        <f>VLOOKUP(A136,[1]ticket_pivot!$A$6:$V$127,3,FALSE)</f>
        <v>1951989.92</v>
      </c>
      <c r="D136" s="44">
        <f t="shared" si="57"/>
        <v>0.67189262769924</v>
      </c>
      <c r="E136" s="43">
        <f>VLOOKUP(A136,[1]ticket_pivot!$A$6:$V$127,4,FALSE)</f>
        <v>1948598.37</v>
      </c>
      <c r="F136" s="44">
        <f t="shared" si="58"/>
        <v>0.998262516642504</v>
      </c>
      <c r="G136" s="43">
        <f>VLOOKUP(A136,[1]Sheet12!$A$5:$G$125,2,FALSE)</f>
        <v>25657945.27</v>
      </c>
      <c r="H136" s="43">
        <f>VLOOKUP(A136,[1]NPL!$A$5:$H$119,2,FALSE)</f>
        <v>636235</v>
      </c>
      <c r="I136" s="44">
        <f t="shared" si="59"/>
        <v>0.0247968024448124</v>
      </c>
      <c r="J136" s="43">
        <f>VLOOKUP(A136,[1]PAR!$A$5:$H$120,2,FALSE)</f>
        <v>1129944.54</v>
      </c>
      <c r="K136" s="44">
        <f t="shared" si="60"/>
        <v>0.0440387773888178</v>
      </c>
      <c r="L136" s="43">
        <f>VLOOKUP(A136,[1]ticket_pivot!$A$6:$V$127,5,FALSE)</f>
        <v>17556975.68</v>
      </c>
      <c r="M136" s="43">
        <f>VLOOKUP(A136,[1]ticket_pivot!$A$6:$V$127,6,FALSE)</f>
        <v>12952669.76</v>
      </c>
      <c r="N136" s="44">
        <f t="shared" si="61"/>
        <v>0.737750623802197</v>
      </c>
      <c r="O136" s="43">
        <f>VLOOKUP(A136,[1]ticket_pivot!$A$6:$V$127,7,FALSE)</f>
        <v>12619430.93</v>
      </c>
      <c r="P136" s="44">
        <f t="shared" si="62"/>
        <v>0.974272575756614</v>
      </c>
      <c r="Q136" s="43">
        <f>VLOOKUP(A136,[1]Sheet12!$A$5:$G$125,3,FALSE)</f>
        <v>41625692.2</v>
      </c>
      <c r="R136" s="43">
        <f>VLOOKUP(A136,[1]NPL!$A$5:$H$119,3,FALSE)</f>
        <v>3783014.39</v>
      </c>
      <c r="S136" s="44">
        <f t="shared" si="63"/>
        <v>0.0908817172774847</v>
      </c>
      <c r="T136" s="43">
        <f>VLOOKUP(A136,[1]PAR!$A$5:$H$120,3,FALSE)</f>
        <v>6276822.08</v>
      </c>
    </row>
    <row r="137" spans="1:20">
      <c r="A137" s="45" t="s">
        <v>148</v>
      </c>
      <c r="B137" s="46">
        <f>SUM(B133:B136)</f>
        <v>20745082.1</v>
      </c>
      <c r="C137" s="46">
        <f t="shared" ref="C137:T137" si="64">SUM(C133:C136)</f>
        <v>13853845.36</v>
      </c>
      <c r="D137" s="47">
        <f t="shared" si="57"/>
        <v>0.667813474693359</v>
      </c>
      <c r="E137" s="46">
        <f t="shared" si="64"/>
        <v>13463206.97</v>
      </c>
      <c r="F137" s="47">
        <f t="shared" si="58"/>
        <v>0.971802890832903</v>
      </c>
      <c r="G137" s="46">
        <f t="shared" si="64"/>
        <v>152618865.71</v>
      </c>
      <c r="H137" s="46">
        <f t="shared" si="64"/>
        <v>5910667.77</v>
      </c>
      <c r="I137" s="47">
        <f t="shared" si="59"/>
        <v>0.038728290519674</v>
      </c>
      <c r="J137" s="46">
        <f t="shared" si="64"/>
        <v>9195760.37</v>
      </c>
      <c r="K137" s="47">
        <f t="shared" si="60"/>
        <v>0.0602531038821465</v>
      </c>
      <c r="L137" s="46">
        <f t="shared" si="64"/>
        <v>79318083.4</v>
      </c>
      <c r="M137" s="46">
        <f t="shared" si="64"/>
        <v>60112756.2</v>
      </c>
      <c r="N137" s="47">
        <f t="shared" si="61"/>
        <v>0.75786949990776</v>
      </c>
      <c r="O137" s="46">
        <f t="shared" si="64"/>
        <v>58719275.36</v>
      </c>
      <c r="P137" s="47">
        <f t="shared" si="62"/>
        <v>0.976818882911245</v>
      </c>
      <c r="Q137" s="46">
        <f t="shared" si="64"/>
        <v>97434101.19</v>
      </c>
      <c r="R137" s="46">
        <f t="shared" si="64"/>
        <v>14076783.62</v>
      </c>
      <c r="S137" s="47">
        <f t="shared" si="63"/>
        <v>0.14447491635962</v>
      </c>
      <c r="T137" s="46">
        <f t="shared" si="64"/>
        <v>23857758.01</v>
      </c>
    </row>
    <row r="138" spans="1:20">
      <c r="A138" s="40" t="s">
        <v>149</v>
      </c>
      <c r="B138" s="43">
        <f>VLOOKUP(A138,[1]ticket_pivot!$A$6:$V$127,2,FALSE)</f>
        <v>2412412.29</v>
      </c>
      <c r="C138" s="43">
        <f>VLOOKUP(A138,[1]ticket_pivot!$A$6:$V$127,3,FALSE)</f>
        <v>1853855.39</v>
      </c>
      <c r="D138" s="44">
        <f t="shared" si="57"/>
        <v>0.768465406052131</v>
      </c>
      <c r="E138" s="43">
        <f>VLOOKUP(A138,[1]ticket_pivot!$A$6:$V$127,4,FALSE)</f>
        <v>1779247.51</v>
      </c>
      <c r="F138" s="44">
        <f t="shared" si="58"/>
        <v>0.959755285982689</v>
      </c>
      <c r="G138" s="43">
        <f>VLOOKUP(A138,[1]Sheet12!$A$5:$G$125,2,FALSE)</f>
        <v>21390392.66</v>
      </c>
      <c r="H138" s="43">
        <f>VLOOKUP(A138,[1]NPL!$A$5:$H$119,2,FALSE)</f>
        <v>242467.28</v>
      </c>
      <c r="I138" s="44">
        <f t="shared" si="59"/>
        <v>0.011335335627261</v>
      </c>
      <c r="J138" s="43">
        <f>VLOOKUP(A138,[1]PAR!$A$5:$H$120,2,FALSE)</f>
        <v>267172.72</v>
      </c>
      <c r="K138" s="44">
        <f t="shared" si="60"/>
        <v>0.012490313957612</v>
      </c>
      <c r="L138" s="43">
        <f>VLOOKUP(A138,[1]ticket_pivot!$A$6:$V$127,5,FALSE)</f>
        <v>27419853.57</v>
      </c>
      <c r="M138" s="43">
        <f>VLOOKUP(A138,[1]ticket_pivot!$A$6:$V$127,6,FALSE)</f>
        <v>23546535.58</v>
      </c>
      <c r="N138" s="44">
        <f t="shared" si="61"/>
        <v>0.858740383856835</v>
      </c>
      <c r="O138" s="43">
        <f>VLOOKUP(A138,[1]ticket_pivot!$A$6:$V$127,7,FALSE)</f>
        <v>22615909.68</v>
      </c>
      <c r="P138" s="44">
        <f t="shared" si="62"/>
        <v>0.96047716247521</v>
      </c>
      <c r="Q138" s="43">
        <f>VLOOKUP(A138,[1]Sheet12!$A$5:$G$125,3,FALSE)</f>
        <v>67779242.8</v>
      </c>
      <c r="R138" s="43">
        <f>VLOOKUP(A138,[1]NPL!$A$5:$H$119,3,FALSE)</f>
        <v>860769.8</v>
      </c>
      <c r="S138" s="44">
        <f t="shared" si="63"/>
        <v>0.0126996077920186</v>
      </c>
      <c r="T138" s="43">
        <f>VLOOKUP(A138,[1]PAR!$A$5:$H$120,3,FALSE)</f>
        <v>3848068.81</v>
      </c>
    </row>
    <row r="139" spans="1:20">
      <c r="A139" s="40" t="s">
        <v>150</v>
      </c>
      <c r="B139" s="43">
        <f>VLOOKUP(A139,[1]ticket_pivot!$A$6:$V$127,2,FALSE)</f>
        <v>6187901.95</v>
      </c>
      <c r="C139" s="43">
        <f>VLOOKUP(A139,[1]ticket_pivot!$A$6:$V$127,3,FALSE)</f>
        <v>4587883.42</v>
      </c>
      <c r="D139" s="44">
        <f t="shared" si="57"/>
        <v>0.741427943925324</v>
      </c>
      <c r="E139" s="43">
        <f>VLOOKUP(A139,[1]ticket_pivot!$A$6:$V$127,4,FALSE)</f>
        <v>4333507.15</v>
      </c>
      <c r="F139" s="44">
        <f t="shared" si="58"/>
        <v>0.944554765953491</v>
      </c>
      <c r="G139" s="43">
        <f>VLOOKUP(A139,[1]Sheet12!$A$5:$G$125,2,FALSE)</f>
        <v>57932194.29</v>
      </c>
      <c r="H139" s="43">
        <f>VLOOKUP(A139,[1]NPL!$A$5:$H$119,2,FALSE)</f>
        <v>982489.28</v>
      </c>
      <c r="I139" s="44">
        <f t="shared" si="59"/>
        <v>0.0169592968476527</v>
      </c>
      <c r="J139" s="43">
        <f>VLOOKUP(A139,[1]PAR!$A$5:$H$120,2,FALSE)</f>
        <v>1755562.71</v>
      </c>
      <c r="K139" s="44">
        <f t="shared" si="60"/>
        <v>0.0303037496078935</v>
      </c>
      <c r="L139" s="43">
        <f>VLOOKUP(A139,[1]ticket_pivot!$A$6:$V$127,5,FALSE)</f>
        <v>17288630.69</v>
      </c>
      <c r="M139" s="43">
        <f>VLOOKUP(A139,[1]ticket_pivot!$A$6:$V$127,6,FALSE)</f>
        <v>11601963.62</v>
      </c>
      <c r="N139" s="44">
        <f t="shared" si="61"/>
        <v>0.671074755892076</v>
      </c>
      <c r="O139" s="43">
        <f>VLOOKUP(A139,[1]ticket_pivot!$A$6:$V$127,7,FALSE)</f>
        <v>11142554.19</v>
      </c>
      <c r="P139" s="44">
        <f t="shared" si="62"/>
        <v>0.96040244177218</v>
      </c>
      <c r="Q139" s="43">
        <f>VLOOKUP(A139,[1]Sheet12!$A$5:$G$125,3,FALSE)</f>
        <v>14337802.38</v>
      </c>
      <c r="R139" s="43">
        <f>VLOOKUP(A139,[1]NPL!$A$5:$H$119,3,FALSE)</f>
        <v>4280044.75</v>
      </c>
      <c r="S139" s="44">
        <f t="shared" si="63"/>
        <v>0.298514698177895</v>
      </c>
      <c r="T139" s="43">
        <f>VLOOKUP(A139,[1]PAR!$A$5:$H$120,3,FALSE)</f>
        <v>6124469.42</v>
      </c>
    </row>
    <row r="140" spans="1:20">
      <c r="A140" s="40" t="s">
        <v>151</v>
      </c>
      <c r="B140" s="43">
        <f>VLOOKUP(A140,[1]ticket_pivot!$A$6:$V$127,2,FALSE)</f>
        <v>11296705.79</v>
      </c>
      <c r="C140" s="43">
        <f>VLOOKUP(A140,[1]ticket_pivot!$A$6:$V$127,3,FALSE)</f>
        <v>10406463.07</v>
      </c>
      <c r="D140" s="44">
        <f t="shared" si="57"/>
        <v>0.92119448478617</v>
      </c>
      <c r="E140" s="43">
        <f>VLOOKUP(A140,[1]ticket_pivot!$A$6:$V$127,4,FALSE)</f>
        <v>10370718.05</v>
      </c>
      <c r="F140" s="44">
        <f t="shared" si="58"/>
        <v>0.996565113453096</v>
      </c>
      <c r="G140" s="43">
        <f>VLOOKUP(A140,[1]Sheet12!$A$5:$G$125,2,FALSE)</f>
        <v>124556430.45</v>
      </c>
      <c r="H140" s="43">
        <f>VLOOKUP(A140,[1]NPL!$A$5:$H$119,2,FALSE)</f>
        <v>25690.45</v>
      </c>
      <c r="I140" s="44">
        <f t="shared" si="59"/>
        <v>0.000206255509307589</v>
      </c>
      <c r="J140" s="43">
        <f>VLOOKUP(A140,[1]PAR!$A$5:$H$120,2,FALSE)</f>
        <v>564103.88</v>
      </c>
      <c r="K140" s="44">
        <f t="shared" si="60"/>
        <v>0.00452890210454807</v>
      </c>
      <c r="L140" s="43">
        <f>VLOOKUP(A140,[1]ticket_pivot!$A$6:$V$127,5,FALSE)</f>
        <v>29047018.11</v>
      </c>
      <c r="M140" s="43">
        <f>VLOOKUP(A140,[1]ticket_pivot!$A$6:$V$127,6,FALSE)</f>
        <v>25841822.61</v>
      </c>
      <c r="N140" s="44">
        <f t="shared" si="61"/>
        <v>0.889654921277563</v>
      </c>
      <c r="O140" s="43">
        <f>VLOOKUP(A140,[1]ticket_pivot!$A$6:$V$127,7,FALSE)</f>
        <v>25589849.51</v>
      </c>
      <c r="P140" s="44">
        <f t="shared" si="62"/>
        <v>0.990249406792906</v>
      </c>
      <c r="Q140" s="43">
        <f>VLOOKUP(A140,[1]Sheet12!$A$5:$G$125,3,FALSE)</f>
        <v>0</v>
      </c>
      <c r="R140" s="43">
        <f>VLOOKUP(A140,[1]NPL!$A$5:$H$119,3,FALSE)</f>
        <v>1315710.88</v>
      </c>
      <c r="S140" s="44" t="str">
        <f t="shared" si="63"/>
        <v/>
      </c>
      <c r="T140" s="43">
        <f>VLOOKUP(A140,[1]PAR!$A$5:$H$120,3,FALSE)</f>
        <v>1315710.88</v>
      </c>
    </row>
    <row r="141" spans="1:20">
      <c r="A141" s="45" t="s">
        <v>152</v>
      </c>
      <c r="B141" s="46">
        <f>SUM(B138:B140)</f>
        <v>19897020.03</v>
      </c>
      <c r="C141" s="46">
        <f t="shared" ref="C141:T141" si="65">SUM(C138:C140)</f>
        <v>16848201.88</v>
      </c>
      <c r="D141" s="47">
        <f t="shared" si="57"/>
        <v>0.846770112036722</v>
      </c>
      <c r="E141" s="46">
        <f t="shared" si="65"/>
        <v>16483472.71</v>
      </c>
      <c r="F141" s="47">
        <f t="shared" si="58"/>
        <v>0.978352041802576</v>
      </c>
      <c r="G141" s="46">
        <f t="shared" si="65"/>
        <v>203879017.4</v>
      </c>
      <c r="H141" s="46">
        <f t="shared" si="65"/>
        <v>1250647.01</v>
      </c>
      <c r="I141" s="47">
        <f t="shared" si="59"/>
        <v>0.00613426053327644</v>
      </c>
      <c r="J141" s="46">
        <f t="shared" si="65"/>
        <v>2586839.31</v>
      </c>
      <c r="K141" s="47">
        <f t="shared" si="60"/>
        <v>0.0126881095611951</v>
      </c>
      <c r="L141" s="46">
        <f t="shared" si="65"/>
        <v>73755502.37</v>
      </c>
      <c r="M141" s="46">
        <f t="shared" si="65"/>
        <v>60990321.81</v>
      </c>
      <c r="N141" s="47">
        <f t="shared" si="61"/>
        <v>0.826925718762479</v>
      </c>
      <c r="O141" s="46">
        <f t="shared" si="65"/>
        <v>59348313.38</v>
      </c>
      <c r="P141" s="47">
        <f t="shared" si="62"/>
        <v>0.973077557532566</v>
      </c>
      <c r="Q141" s="46">
        <f t="shared" si="65"/>
        <v>82117045.18</v>
      </c>
      <c r="R141" s="46">
        <f t="shared" si="65"/>
        <v>6456525.43</v>
      </c>
      <c r="S141" s="47">
        <f t="shared" si="63"/>
        <v>0.078625885963716</v>
      </c>
      <c r="T141" s="46">
        <f t="shared" si="65"/>
        <v>11288249.11</v>
      </c>
    </row>
    <row r="142" spans="1:20">
      <c r="A142" s="40" t="s">
        <v>153</v>
      </c>
      <c r="B142" s="43">
        <f>VLOOKUP(A142,[1]ticket_pivot!$A$6:$V$127,2,FALSE)</f>
        <v>3655709.61</v>
      </c>
      <c r="C142" s="43">
        <f>VLOOKUP(A142,[1]ticket_pivot!$A$6:$V$127,3,FALSE)</f>
        <v>2227860.59</v>
      </c>
      <c r="D142" s="44">
        <f t="shared" si="57"/>
        <v>0.609419463708442</v>
      </c>
      <c r="E142" s="43">
        <f>VLOOKUP(A142,[1]ticket_pivot!$A$6:$V$127,4,FALSE)</f>
        <v>2078129.4</v>
      </c>
      <c r="F142" s="44">
        <f t="shared" si="58"/>
        <v>0.932791490332885</v>
      </c>
      <c r="G142" s="43">
        <f>VLOOKUP(A142,[1]Sheet12!$A$5:$G$125,2,FALSE)</f>
        <v>28050763.89</v>
      </c>
      <c r="H142" s="43">
        <f>VLOOKUP(A142,[1]NPL!$A$5:$H$119,2,FALSE)</f>
        <v>838734.28</v>
      </c>
      <c r="I142" s="44">
        <f t="shared" si="59"/>
        <v>0.0299005860692088</v>
      </c>
      <c r="J142" s="43">
        <f>VLOOKUP(A142,[1]PAR!$A$5:$H$120,2,FALSE)</f>
        <v>2257924.89</v>
      </c>
      <c r="K142" s="44">
        <f t="shared" si="60"/>
        <v>0.0804942389039516</v>
      </c>
      <c r="L142" s="43">
        <f>VLOOKUP(A142,[1]ticket_pivot!$A$6:$V$127,5,FALSE)</f>
        <v>24863776.3</v>
      </c>
      <c r="M142" s="43">
        <f>VLOOKUP(A142,[1]ticket_pivot!$A$6:$V$127,6,FALSE)</f>
        <v>16564363.93</v>
      </c>
      <c r="N142" s="44">
        <f t="shared" si="61"/>
        <v>0.666204671814072</v>
      </c>
      <c r="O142" s="43">
        <f>VLOOKUP(A142,[1]ticket_pivot!$A$6:$V$127,7,FALSE)</f>
        <v>15808670.06</v>
      </c>
      <c r="P142" s="44">
        <f t="shared" si="62"/>
        <v>0.954378334526245</v>
      </c>
      <c r="Q142" s="43">
        <f>VLOOKUP(A142,[1]Sheet12!$A$5:$G$125,3,FALSE)</f>
        <v>33422216.84</v>
      </c>
      <c r="R142" s="43">
        <f>VLOOKUP(A142,[1]NPL!$A$5:$H$119,3,FALSE)</f>
        <v>5374122.12</v>
      </c>
      <c r="S142" s="44">
        <f t="shared" si="63"/>
        <v>0.160794903154605</v>
      </c>
      <c r="T142" s="43">
        <f>VLOOKUP(A142,[1]PAR!$A$5:$H$120,3,FALSE)</f>
        <v>8720917.42</v>
      </c>
    </row>
    <row r="143" spans="1:20">
      <c r="A143" s="40" t="s">
        <v>154</v>
      </c>
      <c r="B143" s="43">
        <f>VLOOKUP(A143,[1]ticket_pivot!$A$6:$V$127,2,FALSE)</f>
        <v>3291899.97</v>
      </c>
      <c r="C143" s="43">
        <f>VLOOKUP(A143,[1]ticket_pivot!$A$6:$V$127,3,FALSE)</f>
        <v>2320736.46</v>
      </c>
      <c r="D143" s="44">
        <f t="shared" si="57"/>
        <v>0.704983894149129</v>
      </c>
      <c r="E143" s="43">
        <f>VLOOKUP(A143,[1]ticket_pivot!$A$6:$V$127,4,FALSE)</f>
        <v>2195881.78</v>
      </c>
      <c r="F143" s="44">
        <f t="shared" si="58"/>
        <v>0.946200405710867</v>
      </c>
      <c r="G143" s="43">
        <f>VLOOKUP(A143,[1]Sheet12!$A$5:$G$125,2,FALSE)</f>
        <v>21379489.5</v>
      </c>
      <c r="H143" s="43">
        <f>VLOOKUP(A143,[1]NPL!$A$5:$H$119,2,FALSE)</f>
        <v>670590.65</v>
      </c>
      <c r="I143" s="44">
        <f t="shared" si="59"/>
        <v>0.0313660740121975</v>
      </c>
      <c r="J143" s="43">
        <f>VLOOKUP(A143,[1]PAR!$A$5:$H$120,2,FALSE)</f>
        <v>1163275.81</v>
      </c>
      <c r="K143" s="44">
        <f t="shared" si="60"/>
        <v>0.0544108319331011</v>
      </c>
      <c r="L143" s="43">
        <f>VLOOKUP(A143,[1]ticket_pivot!$A$6:$V$127,5,FALSE)</f>
        <v>13919239.27</v>
      </c>
      <c r="M143" s="43">
        <f>VLOOKUP(A143,[1]ticket_pivot!$A$6:$V$127,6,FALSE)</f>
        <v>10236470.59</v>
      </c>
      <c r="N143" s="44">
        <f t="shared" si="61"/>
        <v>0.735418825083535</v>
      </c>
      <c r="O143" s="43">
        <f>VLOOKUP(A143,[1]ticket_pivot!$A$6:$V$127,7,FALSE)</f>
        <v>9993574.15</v>
      </c>
      <c r="P143" s="44">
        <f t="shared" si="62"/>
        <v>0.976271466042477</v>
      </c>
      <c r="Q143" s="43">
        <f>VLOOKUP(A143,[1]Sheet12!$A$5:$G$125,3,FALSE)</f>
        <v>24303384.7</v>
      </c>
      <c r="R143" s="43">
        <f>VLOOKUP(A143,[1]NPL!$A$5:$H$119,3,FALSE)</f>
        <v>3280165.33</v>
      </c>
      <c r="S143" s="44">
        <f t="shared" si="63"/>
        <v>0.134967428219988</v>
      </c>
      <c r="T143" s="43">
        <f>VLOOKUP(A143,[1]PAR!$A$5:$H$120,3,FALSE)</f>
        <v>5252854.09</v>
      </c>
    </row>
    <row r="144" spans="1:20">
      <c r="A144" s="40" t="s">
        <v>155</v>
      </c>
      <c r="B144" s="43">
        <f>VLOOKUP(A144,[1]ticket_pivot!$A$6:$V$127,2,FALSE)</f>
        <v>7160234.78</v>
      </c>
      <c r="C144" s="43">
        <f>VLOOKUP(A144,[1]ticket_pivot!$A$6:$V$127,3,FALSE)</f>
        <v>4821080.6</v>
      </c>
      <c r="D144" s="44">
        <f t="shared" si="57"/>
        <v>0.673313201051209</v>
      </c>
      <c r="E144" s="43">
        <f>VLOOKUP(A144,[1]ticket_pivot!$A$6:$V$127,4,FALSE)</f>
        <v>4796226.08</v>
      </c>
      <c r="F144" s="44">
        <f t="shared" si="58"/>
        <v>0.994844616370861</v>
      </c>
      <c r="G144" s="43">
        <f>VLOOKUP(A144,[1]Sheet12!$A$5:$G$125,2,FALSE)</f>
        <v>60150591.03</v>
      </c>
      <c r="H144" s="43">
        <f>VLOOKUP(A144,[1]NPL!$A$5:$H$119,2,FALSE)</f>
        <v>1460591.24</v>
      </c>
      <c r="I144" s="44">
        <f t="shared" si="59"/>
        <v>0.0242822425347663</v>
      </c>
      <c r="J144" s="43">
        <f>VLOOKUP(A144,[1]PAR!$A$5:$H$120,2,FALSE)</f>
        <v>1814554.64</v>
      </c>
      <c r="K144" s="44">
        <f t="shared" si="60"/>
        <v>0.0301668630171064</v>
      </c>
      <c r="L144" s="43">
        <f>VLOOKUP(A144,[1]ticket_pivot!$A$6:$V$127,5,FALSE)</f>
        <v>21704181.47</v>
      </c>
      <c r="M144" s="43">
        <f>VLOOKUP(A144,[1]ticket_pivot!$A$6:$V$127,6,FALSE)</f>
        <v>15702403.02</v>
      </c>
      <c r="N144" s="44">
        <f t="shared" si="61"/>
        <v>0.723473633028005</v>
      </c>
      <c r="O144" s="43">
        <f>VLOOKUP(A144,[1]ticket_pivot!$A$6:$V$127,7,FALSE)</f>
        <v>14994373.9</v>
      </c>
      <c r="P144" s="44">
        <f t="shared" si="62"/>
        <v>0.95490950530959</v>
      </c>
      <c r="Q144" s="43">
        <f>VLOOKUP(A144,[1]Sheet12!$A$5:$G$125,3,FALSE)</f>
        <v>4577563.33</v>
      </c>
      <c r="R144" s="43">
        <f>VLOOKUP(A144,[1]NPL!$A$5:$H$119,3,FALSE)</f>
        <v>4482523.93</v>
      </c>
      <c r="S144" s="44">
        <f t="shared" si="63"/>
        <v>0.979237993415156</v>
      </c>
      <c r="T144" s="43">
        <f>VLOOKUP(A144,[1]PAR!$A$5:$H$120,3,FALSE)</f>
        <v>7297400.56</v>
      </c>
    </row>
    <row r="145" spans="1:20">
      <c r="A145" s="45" t="s">
        <v>156</v>
      </c>
      <c r="B145" s="46">
        <f>SUM(B142:B144)</f>
        <v>14107844.36</v>
      </c>
      <c r="C145" s="46">
        <f t="shared" ref="C145:T145" si="66">SUM(C142:C144)</f>
        <v>9369677.65</v>
      </c>
      <c r="D145" s="47">
        <f t="shared" si="57"/>
        <v>0.66414665564116</v>
      </c>
      <c r="E145" s="46">
        <f t="shared" si="66"/>
        <v>9070237.26</v>
      </c>
      <c r="F145" s="47">
        <f t="shared" si="58"/>
        <v>0.968041548366394</v>
      </c>
      <c r="G145" s="46">
        <f t="shared" si="66"/>
        <v>109580844.42</v>
      </c>
      <c r="H145" s="46">
        <f t="shared" si="66"/>
        <v>2969916.17</v>
      </c>
      <c r="I145" s="47">
        <f t="shared" si="59"/>
        <v>0.0271025121746365</v>
      </c>
      <c r="J145" s="46">
        <f t="shared" si="66"/>
        <v>5235755.34</v>
      </c>
      <c r="K145" s="47">
        <f t="shared" si="60"/>
        <v>0.0477798411548324</v>
      </c>
      <c r="L145" s="46">
        <f t="shared" si="66"/>
        <v>60487197.04</v>
      </c>
      <c r="M145" s="46">
        <f t="shared" si="66"/>
        <v>42503237.54</v>
      </c>
      <c r="N145" s="47">
        <f t="shared" si="61"/>
        <v>0.7026815527903</v>
      </c>
      <c r="O145" s="46">
        <f t="shared" si="66"/>
        <v>40796618.11</v>
      </c>
      <c r="P145" s="47">
        <f t="shared" si="62"/>
        <v>0.959847307434078</v>
      </c>
      <c r="Q145" s="46">
        <f t="shared" si="66"/>
        <v>62303164.87</v>
      </c>
      <c r="R145" s="46">
        <f t="shared" si="66"/>
        <v>13136811.38</v>
      </c>
      <c r="S145" s="47">
        <f t="shared" si="63"/>
        <v>0.210853034631722</v>
      </c>
      <c r="T145" s="46">
        <f t="shared" si="66"/>
        <v>21271172.07</v>
      </c>
    </row>
    <row r="146" spans="1:20">
      <c r="A146" s="48" t="s">
        <v>157</v>
      </c>
      <c r="B146" s="49">
        <f>SUM(B145,B141,B137)</f>
        <v>54749946.49</v>
      </c>
      <c r="C146" s="49">
        <f t="shared" ref="C146:T146" si="67">SUM(C145,C141,C137)</f>
        <v>40071724.89</v>
      </c>
      <c r="D146" s="50">
        <f t="shared" si="57"/>
        <v>0.731904366286806</v>
      </c>
      <c r="E146" s="49">
        <f t="shared" si="67"/>
        <v>39016916.94</v>
      </c>
      <c r="F146" s="50">
        <f t="shared" si="58"/>
        <v>0.973677001604111</v>
      </c>
      <c r="G146" s="49">
        <f t="shared" si="67"/>
        <v>466078727.53</v>
      </c>
      <c r="H146" s="49">
        <f t="shared" si="67"/>
        <v>10131230.95</v>
      </c>
      <c r="I146" s="50">
        <f t="shared" si="59"/>
        <v>0.0217371666020691</v>
      </c>
      <c r="J146" s="49">
        <f t="shared" si="67"/>
        <v>17018355.02</v>
      </c>
      <c r="K146" s="50">
        <f t="shared" si="60"/>
        <v>0.0365139063741213</v>
      </c>
      <c r="L146" s="49">
        <f t="shared" si="67"/>
        <v>213560782.81</v>
      </c>
      <c r="M146" s="49">
        <f t="shared" si="67"/>
        <v>163606315.55</v>
      </c>
      <c r="N146" s="50">
        <f t="shared" si="61"/>
        <v>0.76608782472743</v>
      </c>
      <c r="O146" s="49">
        <f t="shared" si="67"/>
        <v>158864206.85</v>
      </c>
      <c r="P146" s="50">
        <f t="shared" si="62"/>
        <v>0.97101512442195</v>
      </c>
      <c r="Q146" s="49">
        <f t="shared" si="67"/>
        <v>241854311.24</v>
      </c>
      <c r="R146" s="49">
        <f t="shared" si="67"/>
        <v>33670120.43</v>
      </c>
      <c r="S146" s="50">
        <f t="shared" si="63"/>
        <v>0.139216540145063</v>
      </c>
      <c r="T146" s="49">
        <f t="shared" si="67"/>
        <v>56417179.19</v>
      </c>
    </row>
    <row r="147" spans="1:20">
      <c r="A147" s="40" t="s">
        <v>158</v>
      </c>
      <c r="B147" s="43">
        <f>VLOOKUP(A147,[1]ticket_pivot!$A$6:$V$127,2,FALSE)</f>
        <v>5641670.32</v>
      </c>
      <c r="C147" s="43">
        <f>VLOOKUP(A147,[1]ticket_pivot!$A$6:$V$127,3,FALSE)</f>
        <v>4982489.06</v>
      </c>
      <c r="D147" s="44">
        <f t="shared" si="57"/>
        <v>0.883158493387469</v>
      </c>
      <c r="E147" s="43">
        <f>VLOOKUP(A147,[1]ticket_pivot!$A$6:$V$127,4,FALSE)</f>
        <v>4936328.28</v>
      </c>
      <c r="F147" s="44">
        <f t="shared" si="58"/>
        <v>0.990735397620722</v>
      </c>
      <c r="G147" s="43">
        <f>VLOOKUP(A147,[1]Sheet12!$A$5:$G$125,2,FALSE)</f>
        <v>58140422.28</v>
      </c>
      <c r="H147" s="43">
        <f>VLOOKUP(A147,[1]NPL!$A$5:$H$119,2,FALSE)</f>
        <v>75202.49</v>
      </c>
      <c r="I147" s="44">
        <f t="shared" si="59"/>
        <v>0.00129346308559354</v>
      </c>
      <c r="J147" s="43">
        <f>VLOOKUP(A147,[1]PAR!$A$5:$H$120,2,FALSE)</f>
        <v>873487.9</v>
      </c>
      <c r="K147" s="44">
        <f t="shared" si="60"/>
        <v>0.0150237625690668</v>
      </c>
      <c r="L147" s="43">
        <f>VLOOKUP(A147,[1]ticket_pivot!$A$6:$V$127,5,FALSE)</f>
        <v>14027723.84</v>
      </c>
      <c r="M147" s="43">
        <f>VLOOKUP(A147,[1]ticket_pivot!$A$6:$V$127,6,FALSE)</f>
        <v>11865702.2</v>
      </c>
      <c r="N147" s="44">
        <f t="shared" si="61"/>
        <v>0.845875092448355</v>
      </c>
      <c r="O147" s="43">
        <f>VLOOKUP(A147,[1]ticket_pivot!$A$6:$V$127,7,FALSE)</f>
        <v>11797126.34</v>
      </c>
      <c r="P147" s="44">
        <f t="shared" si="62"/>
        <v>0.994220665676238</v>
      </c>
      <c r="Q147" s="43">
        <f>VLOOKUP(A147,[1]Sheet12!$A$5:$G$125,3,FALSE)</f>
        <v>0</v>
      </c>
      <c r="R147" s="43">
        <f>VLOOKUP(A147,[1]NPL!$A$5:$H$119,3,FALSE)</f>
        <v>3143399.32</v>
      </c>
      <c r="S147" s="44" t="str">
        <f t="shared" si="63"/>
        <v/>
      </c>
      <c r="T147" s="43">
        <f>VLOOKUP(A147,[1]PAR!$A$5:$H$120,3,FALSE)</f>
        <v>3935878.3</v>
      </c>
    </row>
    <row r="148" spans="1:20">
      <c r="A148" s="40" t="s">
        <v>159</v>
      </c>
      <c r="B148" s="43">
        <f>VLOOKUP(A148,[1]ticket_pivot!$A$6:$V$127,2,FALSE)</f>
        <v>4360589.55</v>
      </c>
      <c r="C148" s="43">
        <f>VLOOKUP(A148,[1]ticket_pivot!$A$6:$V$127,3,FALSE)</f>
        <v>3443495.33</v>
      </c>
      <c r="D148" s="44">
        <f t="shared" si="57"/>
        <v>0.789685727243005</v>
      </c>
      <c r="E148" s="43">
        <f>VLOOKUP(A148,[1]ticket_pivot!$A$6:$V$127,4,FALSE)</f>
        <v>3384589.49</v>
      </c>
      <c r="F148" s="44">
        <f t="shared" si="58"/>
        <v>0.982893590856126</v>
      </c>
      <c r="G148" s="43">
        <f>VLOOKUP(A148,[1]Sheet12!$A$5:$G$125,2,FALSE)</f>
        <v>37164455.26</v>
      </c>
      <c r="H148" s="43">
        <f>VLOOKUP(A148,[1]NPL!$A$5:$H$119,2,FALSE)</f>
        <v>265125.76</v>
      </c>
      <c r="I148" s="44">
        <f t="shared" si="59"/>
        <v>0.00713385298251241</v>
      </c>
      <c r="J148" s="43">
        <f>VLOOKUP(A148,[1]PAR!$A$5:$H$120,2,FALSE)</f>
        <v>1227439.01</v>
      </c>
      <c r="K148" s="44">
        <f t="shared" si="60"/>
        <v>0.0330272299543454</v>
      </c>
      <c r="L148" s="43">
        <f>VLOOKUP(A148,[1]ticket_pivot!$A$6:$V$127,5,FALSE)</f>
        <v>22724926.82</v>
      </c>
      <c r="M148" s="43">
        <f>VLOOKUP(A148,[1]ticket_pivot!$A$6:$V$127,6,FALSE)</f>
        <v>18156440.66</v>
      </c>
      <c r="N148" s="44">
        <f t="shared" si="61"/>
        <v>0.798965858231969</v>
      </c>
      <c r="O148" s="43">
        <f>VLOOKUP(A148,[1]ticket_pivot!$A$6:$V$127,7,FALSE)</f>
        <v>17585272.41</v>
      </c>
      <c r="P148" s="44">
        <f t="shared" si="62"/>
        <v>0.968541838089537</v>
      </c>
      <c r="Q148" s="43">
        <f>VLOOKUP(A148,[1]Sheet12!$A$5:$G$125,3,FALSE)</f>
        <v>21580950.85</v>
      </c>
      <c r="R148" s="43">
        <f>VLOOKUP(A148,[1]NPL!$A$5:$H$119,3,FALSE)</f>
        <v>5384259.53</v>
      </c>
      <c r="S148" s="44">
        <f t="shared" si="63"/>
        <v>0.249491302186993</v>
      </c>
      <c r="T148" s="43">
        <f>VLOOKUP(A148,[1]PAR!$A$5:$H$120,3,FALSE)</f>
        <v>6468986.34</v>
      </c>
    </row>
    <row r="149" spans="1:20">
      <c r="A149" s="40" t="s">
        <v>160</v>
      </c>
      <c r="B149" s="43">
        <f>VLOOKUP(A149,[1]ticket_pivot!$A$6:$V$127,2,FALSE)</f>
        <v>13484105.58</v>
      </c>
      <c r="C149" s="43">
        <f>VLOOKUP(A149,[1]ticket_pivot!$A$6:$V$127,3,FALSE)</f>
        <v>9400821.51</v>
      </c>
      <c r="D149" s="44">
        <f t="shared" si="57"/>
        <v>0.697177981455704</v>
      </c>
      <c r="E149" s="43">
        <f>VLOOKUP(A149,[1]ticket_pivot!$A$6:$V$127,4,FALSE)</f>
        <v>9268282.74</v>
      </c>
      <c r="F149" s="44">
        <f t="shared" si="58"/>
        <v>0.985901362996945</v>
      </c>
      <c r="G149" s="43">
        <f>VLOOKUP(A149,[1]Sheet12!$A$5:$G$125,2,FALSE)</f>
        <v>117916772.85</v>
      </c>
      <c r="H149" s="43">
        <f>VLOOKUP(A149,[1]NPL!$A$5:$H$119,2,FALSE)</f>
        <v>2269370.36</v>
      </c>
      <c r="I149" s="44">
        <f t="shared" si="59"/>
        <v>0.0192455263585514</v>
      </c>
      <c r="J149" s="43">
        <f>VLOOKUP(A149,[1]PAR!$A$5:$H$120,2,FALSE)</f>
        <v>4459122.59</v>
      </c>
      <c r="K149" s="44">
        <f t="shared" si="60"/>
        <v>0.0378158465689387</v>
      </c>
      <c r="L149" s="43">
        <f>VLOOKUP(A149,[1]ticket_pivot!$A$6:$V$127,5,FALSE)</f>
        <v>29998559.27</v>
      </c>
      <c r="M149" s="43">
        <f>VLOOKUP(A149,[1]ticket_pivot!$A$6:$V$127,6,FALSE)</f>
        <v>26957233.01</v>
      </c>
      <c r="N149" s="44">
        <f t="shared" si="61"/>
        <v>0.89861758917731</v>
      </c>
      <c r="O149" s="43">
        <f>VLOOKUP(A149,[1]ticket_pivot!$A$6:$V$127,7,FALSE)</f>
        <v>26445225.38</v>
      </c>
      <c r="P149" s="44">
        <f t="shared" si="62"/>
        <v>0.981006669719771</v>
      </c>
      <c r="Q149" s="43">
        <f>VLOOKUP(A149,[1]Sheet12!$A$5:$G$125,3,FALSE)</f>
        <v>15285366.64</v>
      </c>
      <c r="R149" s="43">
        <f>VLOOKUP(A149,[1]NPL!$A$5:$H$119,3,FALSE)</f>
        <v>1629935.35</v>
      </c>
      <c r="S149" s="44">
        <f t="shared" si="63"/>
        <v>0.106633709768835</v>
      </c>
      <c r="T149" s="43">
        <f>VLOOKUP(A149,[1]PAR!$A$5:$H$120,3,FALSE)</f>
        <v>3517056.92</v>
      </c>
    </row>
    <row r="150" spans="1:20">
      <c r="A150" s="40" t="s">
        <v>161</v>
      </c>
      <c r="B150" s="43">
        <f>VLOOKUP(A150,[1]ticket_pivot!$A$6:$V$127,2,FALSE)</f>
        <v>7665443.24</v>
      </c>
      <c r="C150" s="43">
        <f>VLOOKUP(A150,[1]ticket_pivot!$A$6:$V$127,3,FALSE)</f>
        <v>6889606.01</v>
      </c>
      <c r="D150" s="44">
        <f t="shared" si="57"/>
        <v>0.898787688368559</v>
      </c>
      <c r="E150" s="43">
        <f>VLOOKUP(A150,[1]ticket_pivot!$A$6:$V$127,4,FALSE)</f>
        <v>6700716.96</v>
      </c>
      <c r="F150" s="44">
        <f t="shared" si="58"/>
        <v>0.972583475785723</v>
      </c>
      <c r="G150" s="43">
        <f>VLOOKUP(A150,[1]Sheet12!$A$5:$G$125,2,FALSE)</f>
        <v>73136961.3000001</v>
      </c>
      <c r="H150" s="43">
        <f>VLOOKUP(A150,[1]NPL!$A$5:$H$119,2,FALSE)</f>
        <v>291377.32</v>
      </c>
      <c r="I150" s="44">
        <f t="shared" si="59"/>
        <v>0.00398399543569771</v>
      </c>
      <c r="J150" s="43">
        <f>VLOOKUP(A150,[1]PAR!$A$5:$H$120,2,FALSE)</f>
        <v>291377.32</v>
      </c>
      <c r="K150" s="44">
        <f t="shared" si="60"/>
        <v>0.00398399543569771</v>
      </c>
      <c r="L150" s="43">
        <f>VLOOKUP(A150,[1]ticket_pivot!$A$6:$V$127,5,FALSE)</f>
        <v>29317634.77</v>
      </c>
      <c r="M150" s="43">
        <f>VLOOKUP(A150,[1]ticket_pivot!$A$6:$V$127,6,FALSE)</f>
        <v>25323185.63</v>
      </c>
      <c r="N150" s="44">
        <f t="shared" si="61"/>
        <v>0.863752680892</v>
      </c>
      <c r="O150" s="43">
        <f>VLOOKUP(A150,[1]ticket_pivot!$A$6:$V$127,7,FALSE)</f>
        <v>25202046.76</v>
      </c>
      <c r="P150" s="44">
        <f t="shared" si="62"/>
        <v>0.995216286301022</v>
      </c>
      <c r="Q150" s="43">
        <f>VLOOKUP(A150,[1]Sheet12!$A$5:$G$125,3,FALSE)</f>
        <v>2851402.02</v>
      </c>
      <c r="R150" s="43">
        <f>VLOOKUP(A150,[1]NPL!$A$5:$H$119,3,FALSE)</f>
        <v>1969667.23</v>
      </c>
      <c r="S150" s="44">
        <f t="shared" si="63"/>
        <v>0.690771492825133</v>
      </c>
      <c r="T150" s="43">
        <f>VLOOKUP(A150,[1]PAR!$A$5:$H$120,3,FALSE)</f>
        <v>3491178.57</v>
      </c>
    </row>
    <row r="151" spans="1:20">
      <c r="A151" s="45" t="s">
        <v>162</v>
      </c>
      <c r="B151" s="46">
        <f>SUM(B147:B150)</f>
        <v>31151808.69</v>
      </c>
      <c r="C151" s="46">
        <f t="shared" ref="C151:T151" si="68">SUM(C147:C150)</f>
        <v>24716411.91</v>
      </c>
      <c r="D151" s="47">
        <f t="shared" si="57"/>
        <v>0.793418197831132</v>
      </c>
      <c r="E151" s="46">
        <f t="shared" si="68"/>
        <v>24289917.47</v>
      </c>
      <c r="F151" s="47">
        <f t="shared" si="58"/>
        <v>0.982744484047563</v>
      </c>
      <c r="G151" s="46">
        <f t="shared" si="68"/>
        <v>286358611.69</v>
      </c>
      <c r="H151" s="46">
        <f t="shared" si="68"/>
        <v>2901075.93</v>
      </c>
      <c r="I151" s="47">
        <f t="shared" si="59"/>
        <v>0.0101309191048202</v>
      </c>
      <c r="J151" s="46">
        <f t="shared" si="68"/>
        <v>6851426.82</v>
      </c>
      <c r="K151" s="47">
        <f t="shared" si="60"/>
        <v>0.0239260372843862</v>
      </c>
      <c r="L151" s="46">
        <f t="shared" si="68"/>
        <v>96068844.7</v>
      </c>
      <c r="M151" s="46">
        <f t="shared" si="68"/>
        <v>82302561.5</v>
      </c>
      <c r="N151" s="47">
        <f t="shared" si="61"/>
        <v>0.856703978870686</v>
      </c>
      <c r="O151" s="46">
        <f t="shared" si="68"/>
        <v>81029670.89</v>
      </c>
      <c r="P151" s="47">
        <f t="shared" si="62"/>
        <v>0.984534009795066</v>
      </c>
      <c r="Q151" s="46">
        <f t="shared" si="68"/>
        <v>39717719.51</v>
      </c>
      <c r="R151" s="46">
        <f t="shared" si="68"/>
        <v>12127261.43</v>
      </c>
      <c r="S151" s="47">
        <f t="shared" si="63"/>
        <v>0.305336297743546</v>
      </c>
      <c r="T151" s="46">
        <f t="shared" si="68"/>
        <v>17413100.13</v>
      </c>
    </row>
    <row r="152" spans="1:20">
      <c r="A152" s="40" t="s">
        <v>163</v>
      </c>
      <c r="B152" s="43">
        <f>VLOOKUP(A152,[1]ticket_pivot!$A$6:$V$127,2,FALSE)</f>
        <v>10041338.23</v>
      </c>
      <c r="C152" s="43">
        <f>VLOOKUP(A152,[1]ticket_pivot!$A$6:$V$127,3,FALSE)</f>
        <v>8562038.95</v>
      </c>
      <c r="D152" s="44">
        <f t="shared" si="57"/>
        <v>0.852679070646144</v>
      </c>
      <c r="E152" s="43">
        <f>VLOOKUP(A152,[1]ticket_pivot!$A$6:$V$127,4,FALSE)</f>
        <v>8406168.67000001</v>
      </c>
      <c r="F152" s="44">
        <f t="shared" si="58"/>
        <v>0.981795191436265</v>
      </c>
      <c r="G152" s="43">
        <f>VLOOKUP(A152,[1]Sheet12!$A$5:$G$125,2,FALSE)</f>
        <v>114637795.53</v>
      </c>
      <c r="H152" s="43">
        <f>VLOOKUP(A152,[1]NPL!$A$5:$H$119,2,FALSE)</f>
        <v>578012.55</v>
      </c>
      <c r="I152" s="44">
        <f t="shared" si="59"/>
        <v>0.00504207663212381</v>
      </c>
      <c r="J152" s="43">
        <f>VLOOKUP(A152,[1]PAR!$A$5:$H$120,2,FALSE)</f>
        <v>1307004.53</v>
      </c>
      <c r="K152" s="44">
        <f t="shared" si="60"/>
        <v>0.011401165941454</v>
      </c>
      <c r="L152" s="43">
        <f>VLOOKUP(A152,[1]ticket_pivot!$A$6:$V$127,5,FALSE)</f>
        <v>21393415.33</v>
      </c>
      <c r="M152" s="43">
        <f>VLOOKUP(A152,[1]ticket_pivot!$A$6:$V$127,6,FALSE)</f>
        <v>18178178.01</v>
      </c>
      <c r="N152" s="44">
        <f t="shared" si="61"/>
        <v>0.849709021659048</v>
      </c>
      <c r="O152" s="43">
        <f>VLOOKUP(A152,[1]ticket_pivot!$A$6:$V$127,7,FALSE)</f>
        <v>17833656.87</v>
      </c>
      <c r="P152" s="44">
        <f t="shared" si="62"/>
        <v>0.981047542838977</v>
      </c>
      <c r="Q152" s="43">
        <f>VLOOKUP(A152,[1]Sheet12!$A$5:$G$125,3,FALSE)</f>
        <v>12444677.48</v>
      </c>
      <c r="R152" s="43">
        <f>VLOOKUP(A152,[1]NPL!$A$5:$H$119,3,FALSE)</f>
        <v>1326635.45</v>
      </c>
      <c r="S152" s="44">
        <f t="shared" si="63"/>
        <v>0.106602638126384</v>
      </c>
      <c r="T152" s="43">
        <f>VLOOKUP(A152,[1]PAR!$A$5:$H$120,3,FALSE)</f>
        <v>3127257.78</v>
      </c>
    </row>
    <row r="153" spans="1:20">
      <c r="A153" s="40" t="s">
        <v>164</v>
      </c>
      <c r="B153" s="43">
        <f>VLOOKUP(A153,[1]ticket_pivot!$A$6:$V$127,2,FALSE)</f>
        <v>5243222.77</v>
      </c>
      <c r="C153" s="43">
        <f>VLOOKUP(A153,[1]ticket_pivot!$A$6:$V$127,3,FALSE)</f>
        <v>4233781.41</v>
      </c>
      <c r="D153" s="44">
        <f t="shared" si="57"/>
        <v>0.80747692701983</v>
      </c>
      <c r="E153" s="43">
        <f>VLOOKUP(A153,[1]ticket_pivot!$A$6:$V$127,4,FALSE)</f>
        <v>4229882.78</v>
      </c>
      <c r="F153" s="44">
        <f t="shared" si="58"/>
        <v>0.999079161245597</v>
      </c>
      <c r="G153" s="43">
        <f>VLOOKUP(A153,[1]Sheet12!$A$5:$G$125,2,FALSE)</f>
        <v>47314268</v>
      </c>
      <c r="H153" s="43">
        <f>VLOOKUP(A153,[1]NPL!$A$5:$H$119,2,FALSE)</f>
        <v>391717.18</v>
      </c>
      <c r="I153" s="44">
        <f t="shared" si="59"/>
        <v>0.0082790497783882</v>
      </c>
      <c r="J153" s="43">
        <f>VLOOKUP(A153,[1]PAR!$A$5:$H$120,2,FALSE)</f>
        <v>1096644.27</v>
      </c>
      <c r="K153" s="44">
        <f t="shared" si="60"/>
        <v>0.0231778767030698</v>
      </c>
      <c r="L153" s="43">
        <f>VLOOKUP(A153,[1]ticket_pivot!$A$6:$V$127,5,FALSE)</f>
        <v>33672186.17</v>
      </c>
      <c r="M153" s="43">
        <f>VLOOKUP(A153,[1]ticket_pivot!$A$6:$V$127,6,FALSE)</f>
        <v>29496077.83</v>
      </c>
      <c r="N153" s="44">
        <f t="shared" si="61"/>
        <v>0.875977510966583</v>
      </c>
      <c r="O153" s="43">
        <f>VLOOKUP(A153,[1]ticket_pivot!$A$6:$V$127,7,FALSE)</f>
        <v>29148062.07</v>
      </c>
      <c r="P153" s="44">
        <f t="shared" si="62"/>
        <v>0.98820128689632</v>
      </c>
      <c r="Q153" s="43">
        <f>VLOOKUP(A153,[1]Sheet12!$A$5:$G$125,3,FALSE)</f>
        <v>5587907.28</v>
      </c>
      <c r="R153" s="43">
        <f>VLOOKUP(A153,[1]NPL!$A$5:$H$119,3,FALSE)</f>
        <v>825452.74</v>
      </c>
      <c r="S153" s="44">
        <f t="shared" si="63"/>
        <v>0.147721266412996</v>
      </c>
      <c r="T153" s="43">
        <f>VLOOKUP(A153,[1]PAR!$A$5:$H$120,3,FALSE)</f>
        <v>6558680.69</v>
      </c>
    </row>
    <row r="154" spans="1:20">
      <c r="A154" s="40" t="s">
        <v>165</v>
      </c>
      <c r="B154" s="43">
        <f>VLOOKUP(A154,[1]ticket_pivot!$A$6:$V$127,2,FALSE)</f>
        <v>8592113.44999999</v>
      </c>
      <c r="C154" s="43">
        <f>VLOOKUP(A154,[1]ticket_pivot!$A$6:$V$127,3,FALSE)</f>
        <v>6791117.35</v>
      </c>
      <c r="D154" s="44">
        <f t="shared" si="57"/>
        <v>0.79038962759506</v>
      </c>
      <c r="E154" s="43">
        <f>VLOOKUP(A154,[1]ticket_pivot!$A$6:$V$127,4,FALSE)</f>
        <v>6745838.42</v>
      </c>
      <c r="F154" s="44">
        <f t="shared" si="58"/>
        <v>0.993332624417099</v>
      </c>
      <c r="G154" s="43">
        <f>VLOOKUP(A154,[1]Sheet12!$A$5:$G$125,2,FALSE)</f>
        <v>78622633.95</v>
      </c>
      <c r="H154" s="43">
        <f>VLOOKUP(A154,[1]NPL!$A$5:$H$119,2,FALSE)</f>
        <v>1097197.78</v>
      </c>
      <c r="I154" s="44">
        <f t="shared" si="59"/>
        <v>0.0139552406842254</v>
      </c>
      <c r="J154" s="43">
        <f>VLOOKUP(A154,[1]PAR!$A$5:$H$120,2,FALSE)</f>
        <v>2166723.71</v>
      </c>
      <c r="K154" s="44">
        <f t="shared" si="60"/>
        <v>0.0275585235592327</v>
      </c>
      <c r="L154" s="43">
        <f>VLOOKUP(A154,[1]ticket_pivot!$A$6:$V$127,5,FALSE)</f>
        <v>26312898.95</v>
      </c>
      <c r="M154" s="43">
        <f>VLOOKUP(A154,[1]ticket_pivot!$A$6:$V$127,6,FALSE)</f>
        <v>23805716.09</v>
      </c>
      <c r="N154" s="44">
        <f t="shared" si="61"/>
        <v>0.904716585399268</v>
      </c>
      <c r="O154" s="43">
        <f>VLOOKUP(A154,[1]ticket_pivot!$A$6:$V$127,7,FALSE)</f>
        <v>23514029.99</v>
      </c>
      <c r="P154" s="44">
        <f t="shared" si="62"/>
        <v>0.987747224284402</v>
      </c>
      <c r="Q154" s="43">
        <f>VLOOKUP(A154,[1]Sheet12!$A$5:$G$125,3,FALSE)</f>
        <v>24033561.57</v>
      </c>
      <c r="R154" s="43">
        <f>VLOOKUP(A154,[1]NPL!$A$5:$H$119,3,FALSE)</f>
        <v>45133.34</v>
      </c>
      <c r="S154" s="44">
        <f t="shared" si="63"/>
        <v>0.0018779297387341</v>
      </c>
      <c r="T154" s="43">
        <f>VLOOKUP(A154,[1]PAR!$A$5:$H$120,3,FALSE)</f>
        <v>3403236.19</v>
      </c>
    </row>
    <row r="155" spans="1:20">
      <c r="A155" s="40" t="s">
        <v>166</v>
      </c>
      <c r="B155" s="43">
        <f>VLOOKUP(A155,[1]ticket_pivot!$A$6:$V$127,2,FALSE)</f>
        <v>12419830.75</v>
      </c>
      <c r="C155" s="43">
        <f>VLOOKUP(A155,[1]ticket_pivot!$A$6:$V$127,3,FALSE)</f>
        <v>11205206.71</v>
      </c>
      <c r="D155" s="44">
        <f t="shared" si="57"/>
        <v>0.902202850872183</v>
      </c>
      <c r="E155" s="43">
        <f>VLOOKUP(A155,[1]ticket_pivot!$A$6:$V$127,4,FALSE)</f>
        <v>10977507.22</v>
      </c>
      <c r="F155" s="44">
        <f t="shared" si="58"/>
        <v>0.979679135254436</v>
      </c>
      <c r="G155" s="43">
        <f>VLOOKUP(A155,[1]Sheet12!$A$5:$G$125,2,FALSE)</f>
        <v>152498931.73</v>
      </c>
      <c r="H155" s="43">
        <f>VLOOKUP(A155,[1]NPL!$A$5:$H$119,2,FALSE)</f>
        <v>727149.93</v>
      </c>
      <c r="I155" s="44">
        <f t="shared" si="59"/>
        <v>0.00476822966397838</v>
      </c>
      <c r="J155" s="43">
        <f>VLOOKUP(A155,[1]PAR!$A$5:$H$120,2,FALSE)</f>
        <v>1883571.3</v>
      </c>
      <c r="K155" s="44">
        <f t="shared" si="60"/>
        <v>0.0123513737350952</v>
      </c>
      <c r="L155" s="43">
        <f>VLOOKUP(A155,[1]ticket_pivot!$A$6:$V$127,5,FALSE)</f>
        <v>19197093.23</v>
      </c>
      <c r="M155" s="43">
        <f>VLOOKUP(A155,[1]ticket_pivot!$A$6:$V$127,6,FALSE)</f>
        <v>16581142.99</v>
      </c>
      <c r="N155" s="44">
        <f t="shared" si="61"/>
        <v>0.863731961466334</v>
      </c>
      <c r="O155" s="43">
        <f>VLOOKUP(A155,[1]ticket_pivot!$A$6:$V$127,7,FALSE)</f>
        <v>16538116.2</v>
      </c>
      <c r="P155" s="44">
        <f t="shared" si="62"/>
        <v>0.99740507695845</v>
      </c>
      <c r="Q155" s="43">
        <f>VLOOKUP(A155,[1]Sheet12!$A$5:$G$125,3,FALSE)</f>
        <v>0</v>
      </c>
      <c r="R155" s="43">
        <f>VLOOKUP(A155,[1]NPL!$A$5:$H$119,3,FALSE)</f>
        <v>584729.88</v>
      </c>
      <c r="S155" s="44" t="str">
        <f t="shared" si="63"/>
        <v/>
      </c>
      <c r="T155" s="43">
        <f>VLOOKUP(A155,[1]PAR!$A$5:$H$120,3,FALSE)</f>
        <v>584729.88</v>
      </c>
    </row>
    <row r="156" spans="1:20">
      <c r="A156" s="45" t="s">
        <v>167</v>
      </c>
      <c r="B156" s="46">
        <f>SUM(B152:B155)</f>
        <v>36296505.2</v>
      </c>
      <c r="C156" s="46">
        <f t="shared" ref="C156:T156" si="69">SUM(C152:C155)</f>
        <v>30792144.42</v>
      </c>
      <c r="D156" s="47">
        <f t="shared" si="57"/>
        <v>0.848350116638778</v>
      </c>
      <c r="E156" s="46">
        <f t="shared" si="69"/>
        <v>30359397.09</v>
      </c>
      <c r="F156" s="47">
        <f t="shared" si="58"/>
        <v>0.985946177567324</v>
      </c>
      <c r="G156" s="46">
        <f t="shared" si="69"/>
        <v>393073629.21</v>
      </c>
      <c r="H156" s="46">
        <f t="shared" si="69"/>
        <v>2794077.44</v>
      </c>
      <c r="I156" s="47">
        <f t="shared" si="59"/>
        <v>0.00710828005840927</v>
      </c>
      <c r="J156" s="46">
        <f t="shared" si="69"/>
        <v>6453943.81</v>
      </c>
      <c r="K156" s="47">
        <f t="shared" si="60"/>
        <v>0.0164191727208237</v>
      </c>
      <c r="L156" s="46">
        <f t="shared" si="69"/>
        <v>100575593.68</v>
      </c>
      <c r="M156" s="46">
        <f t="shared" si="69"/>
        <v>88061114.92</v>
      </c>
      <c r="N156" s="47">
        <f t="shared" si="61"/>
        <v>0.875571415468675</v>
      </c>
      <c r="O156" s="46">
        <f t="shared" si="69"/>
        <v>87033865.1300001</v>
      </c>
      <c r="P156" s="47">
        <f t="shared" si="62"/>
        <v>0.988334808264316</v>
      </c>
      <c r="Q156" s="46">
        <f t="shared" si="69"/>
        <v>42066146.33</v>
      </c>
      <c r="R156" s="46">
        <f t="shared" si="69"/>
        <v>2781951.41</v>
      </c>
      <c r="S156" s="47">
        <f t="shared" si="63"/>
        <v>0.0661327849757423</v>
      </c>
      <c r="T156" s="46">
        <f t="shared" si="69"/>
        <v>13673904.54</v>
      </c>
    </row>
    <row r="157" spans="1:20">
      <c r="A157" s="40" t="s">
        <v>168</v>
      </c>
      <c r="B157" s="43">
        <f>VLOOKUP(A157,[1]ticket_pivot!$A$6:$V$127,2,FALSE)</f>
        <v>7506049.04</v>
      </c>
      <c r="C157" s="43">
        <f>VLOOKUP(A157,[1]ticket_pivot!$A$6:$V$127,3,FALSE)</f>
        <v>5245125.31</v>
      </c>
      <c r="D157" s="44">
        <f t="shared" si="57"/>
        <v>0.698786443047273</v>
      </c>
      <c r="E157" s="43">
        <f>VLOOKUP(A157,[1]ticket_pivot!$A$6:$V$127,4,FALSE)</f>
        <v>5056067.67</v>
      </c>
      <c r="F157" s="44">
        <f t="shared" si="58"/>
        <v>0.963955553237297</v>
      </c>
      <c r="G157" s="43">
        <f>VLOOKUP(A157,[1]Sheet12!$A$5:$G$125,2,FALSE)</f>
        <v>59781686.92</v>
      </c>
      <c r="H157" s="43">
        <f>VLOOKUP(A157,[1]NPL!$A$5:$H$119,2,FALSE)</f>
        <v>1924468.95</v>
      </c>
      <c r="I157" s="44">
        <f t="shared" si="59"/>
        <v>0.0321916133376318</v>
      </c>
      <c r="J157" s="43">
        <f>VLOOKUP(A157,[1]PAR!$A$5:$H$120,2,FALSE)</f>
        <v>2116652.18</v>
      </c>
      <c r="K157" s="44">
        <f t="shared" si="60"/>
        <v>0.0354063642070273</v>
      </c>
      <c r="L157" s="43">
        <f>VLOOKUP(A157,[1]ticket_pivot!$A$6:$V$127,5,FALSE)</f>
        <v>15686989.03</v>
      </c>
      <c r="M157" s="43">
        <f>VLOOKUP(A157,[1]ticket_pivot!$A$6:$V$127,6,FALSE)</f>
        <v>13714128.05</v>
      </c>
      <c r="N157" s="44">
        <f t="shared" si="61"/>
        <v>0.874235841165753</v>
      </c>
      <c r="O157" s="43">
        <f>VLOOKUP(A157,[1]ticket_pivot!$A$6:$V$127,7,FALSE)</f>
        <v>13535566.66</v>
      </c>
      <c r="P157" s="44">
        <f t="shared" si="62"/>
        <v>0.986979748960416</v>
      </c>
      <c r="Q157" s="43">
        <f>VLOOKUP(A157,[1]Sheet12!$A$5:$G$125,3,FALSE)</f>
        <v>6800000</v>
      </c>
      <c r="R157" s="43">
        <f>VLOOKUP(A157,[1]NPL!$A$5:$H$119,3,FALSE)</f>
        <v>0</v>
      </c>
      <c r="S157" s="44">
        <f t="shared" si="63"/>
        <v>0</v>
      </c>
      <c r="T157" s="43">
        <f>VLOOKUP(A157,[1]PAR!$A$5:$H$120,3,FALSE)</f>
        <v>779349.74</v>
      </c>
    </row>
    <row r="158" spans="1:20">
      <c r="A158" s="40" t="s">
        <v>169</v>
      </c>
      <c r="B158" s="43">
        <f>VLOOKUP(A158,[1]ticket_pivot!$A$6:$V$127,2,FALSE)</f>
        <v>5401142.09</v>
      </c>
      <c r="C158" s="43">
        <f>VLOOKUP(A158,[1]ticket_pivot!$A$6:$V$127,3,FALSE)</f>
        <v>4665992.24</v>
      </c>
      <c r="D158" s="44">
        <f t="shared" si="57"/>
        <v>0.863889925917501</v>
      </c>
      <c r="E158" s="43">
        <f>VLOOKUP(A158,[1]ticket_pivot!$A$6:$V$127,4,FALSE)</f>
        <v>4662853.97</v>
      </c>
      <c r="F158" s="44">
        <f t="shared" si="58"/>
        <v>0.999327416369642</v>
      </c>
      <c r="G158" s="43">
        <f>VLOOKUP(A158,[1]Sheet12!$A$5:$G$125,2,FALSE)</f>
        <v>74025922.93</v>
      </c>
      <c r="H158" s="43"/>
      <c r="I158" s="44">
        <f t="shared" si="59"/>
        <v>0</v>
      </c>
      <c r="J158" s="43"/>
      <c r="K158" s="44">
        <f t="shared" si="60"/>
        <v>0</v>
      </c>
      <c r="L158" s="43">
        <f>VLOOKUP(A158,[1]ticket_pivot!$A$6:$V$127,5,FALSE)</f>
        <v>11757993.88</v>
      </c>
      <c r="M158" s="43">
        <f>VLOOKUP(A158,[1]ticket_pivot!$A$6:$V$127,6,FALSE)</f>
        <v>10985917.47</v>
      </c>
      <c r="N158" s="44">
        <f t="shared" si="61"/>
        <v>0.934336042535855</v>
      </c>
      <c r="O158" s="43">
        <f>VLOOKUP(A158,[1]ticket_pivot!$A$6:$V$127,7,FALSE)</f>
        <v>10977793.73</v>
      </c>
      <c r="P158" s="44">
        <f t="shared" si="62"/>
        <v>0.99926053149205</v>
      </c>
      <c r="Q158" s="43">
        <f>VLOOKUP(A158,[1]Sheet12!$A$5:$G$125,3,FALSE)</f>
        <v>0</v>
      </c>
      <c r="R158" s="43"/>
      <c r="S158" s="44" t="str">
        <f t="shared" si="63"/>
        <v/>
      </c>
      <c r="T158" s="43"/>
    </row>
    <row r="159" spans="1:20">
      <c r="A159" s="40" t="s">
        <v>170</v>
      </c>
      <c r="B159" s="43">
        <f>VLOOKUP(A159,[1]ticket_pivot!$A$6:$V$127,2,FALSE)</f>
        <v>2174042.45</v>
      </c>
      <c r="C159" s="43">
        <f>VLOOKUP(A159,[1]ticket_pivot!$A$6:$V$127,3,FALSE)</f>
        <v>1799217.71</v>
      </c>
      <c r="D159" s="44">
        <f t="shared" si="57"/>
        <v>0.827590882597532</v>
      </c>
      <c r="E159" s="43">
        <f>VLOOKUP(A159,[1]ticket_pivot!$A$6:$V$127,4,FALSE)</f>
        <v>1738053.44</v>
      </c>
      <c r="F159" s="44">
        <f t="shared" si="58"/>
        <v>0.966005075617002</v>
      </c>
      <c r="G159" s="43">
        <f>VLOOKUP(A159,[1]Sheet12!$A$5:$G$125,2,FALSE)</f>
        <v>16685420.74</v>
      </c>
      <c r="H159" s="43">
        <f>VLOOKUP(A159,[1]NPL!$A$5:$H$119,2,FALSE)</f>
        <v>68254.75</v>
      </c>
      <c r="I159" s="44">
        <f t="shared" si="59"/>
        <v>0.00409068198300644</v>
      </c>
      <c r="J159" s="43">
        <f>VLOOKUP(A159,[1]PAR!$A$5:$H$120,2,FALSE)</f>
        <v>472547.3</v>
      </c>
      <c r="K159" s="44">
        <f t="shared" si="60"/>
        <v>0.0283209699871194</v>
      </c>
      <c r="L159" s="43">
        <f>VLOOKUP(A159,[1]ticket_pivot!$A$6:$V$127,5,FALSE)</f>
        <v>9632470.13</v>
      </c>
      <c r="M159" s="43">
        <f>VLOOKUP(A159,[1]ticket_pivot!$A$6:$V$127,6,FALSE)</f>
        <v>5823801.01</v>
      </c>
      <c r="N159" s="44">
        <f t="shared" si="61"/>
        <v>0.604600993452548</v>
      </c>
      <c r="O159" s="43">
        <f>VLOOKUP(A159,[1]ticket_pivot!$A$6:$V$127,7,FALSE)</f>
        <v>5514691.54</v>
      </c>
      <c r="P159" s="44">
        <f t="shared" si="62"/>
        <v>0.946923071466688</v>
      </c>
      <c r="Q159" s="43">
        <f>VLOOKUP(A159,[1]Sheet12!$A$5:$G$125,3,FALSE)</f>
        <v>36067669.68</v>
      </c>
      <c r="R159" s="43">
        <f>VLOOKUP(A159,[1]NPL!$A$5:$H$119,3,FALSE)</f>
        <v>3473737.7</v>
      </c>
      <c r="S159" s="44">
        <f t="shared" si="63"/>
        <v>0.0963116755482053</v>
      </c>
      <c r="T159" s="43">
        <f>VLOOKUP(A159,[1]PAR!$A$5:$H$120,3,FALSE)</f>
        <v>4388695.54</v>
      </c>
    </row>
    <row r="160" spans="1:20">
      <c r="A160" s="45" t="s">
        <v>171</v>
      </c>
      <c r="B160" s="46">
        <f>SUM(B157:B159)</f>
        <v>15081233.58</v>
      </c>
      <c r="C160" s="46">
        <f t="shared" ref="C160:T160" si="70">SUM(C157:C159)</f>
        <v>11710335.26</v>
      </c>
      <c r="D160" s="47">
        <f t="shared" si="57"/>
        <v>0.776483912796741</v>
      </c>
      <c r="E160" s="46">
        <f t="shared" si="70"/>
        <v>11456975.08</v>
      </c>
      <c r="F160" s="47">
        <f t="shared" si="58"/>
        <v>0.978364395691947</v>
      </c>
      <c r="G160" s="46">
        <f t="shared" si="70"/>
        <v>150493030.59</v>
      </c>
      <c r="H160" s="46">
        <f t="shared" si="70"/>
        <v>1992723.7</v>
      </c>
      <c r="I160" s="47">
        <f t="shared" si="59"/>
        <v>0.013241302219695</v>
      </c>
      <c r="J160" s="46">
        <f t="shared" si="70"/>
        <v>2589199.48</v>
      </c>
      <c r="K160" s="47">
        <f t="shared" si="60"/>
        <v>0.0172047799811671</v>
      </c>
      <c r="L160" s="46">
        <f t="shared" si="70"/>
        <v>37077453.04</v>
      </c>
      <c r="M160" s="46">
        <f t="shared" si="70"/>
        <v>30523846.53</v>
      </c>
      <c r="N160" s="47">
        <f t="shared" si="61"/>
        <v>0.823245504405876</v>
      </c>
      <c r="O160" s="46">
        <f t="shared" si="70"/>
        <v>30028051.93</v>
      </c>
      <c r="P160" s="47">
        <f t="shared" si="62"/>
        <v>0.983757138881146</v>
      </c>
      <c r="Q160" s="46">
        <f t="shared" si="70"/>
        <v>42867669.68</v>
      </c>
      <c r="R160" s="46">
        <f t="shared" si="70"/>
        <v>3473737.7</v>
      </c>
      <c r="S160" s="47">
        <f t="shared" si="63"/>
        <v>0.0810339756261741</v>
      </c>
      <c r="T160" s="46">
        <f t="shared" si="70"/>
        <v>5168045.28</v>
      </c>
    </row>
    <row r="161" spans="1:20">
      <c r="A161" s="48" t="s">
        <v>172</v>
      </c>
      <c r="B161" s="49">
        <f>SUM(B160,B156,B151)</f>
        <v>82529547.47</v>
      </c>
      <c r="C161" s="49">
        <f t="shared" ref="C161:T161" si="71">SUM(C160,C156,C151)</f>
        <v>67218891.59</v>
      </c>
      <c r="D161" s="50">
        <f t="shared" si="57"/>
        <v>0.814482735585512</v>
      </c>
      <c r="E161" s="49">
        <f t="shared" si="71"/>
        <v>66106289.64</v>
      </c>
      <c r="F161" s="50">
        <f t="shared" si="58"/>
        <v>0.98344807652012</v>
      </c>
      <c r="G161" s="49">
        <f t="shared" si="71"/>
        <v>829925271.49</v>
      </c>
      <c r="H161" s="49">
        <f t="shared" si="71"/>
        <v>7687877.07</v>
      </c>
      <c r="I161" s="50">
        <f t="shared" si="59"/>
        <v>0.00926333651245205</v>
      </c>
      <c r="J161" s="49">
        <f t="shared" si="71"/>
        <v>15894570.11</v>
      </c>
      <c r="K161" s="50">
        <f t="shared" si="60"/>
        <v>0.0191518087905238</v>
      </c>
      <c r="L161" s="49">
        <f t="shared" si="71"/>
        <v>233721891.42</v>
      </c>
      <c r="M161" s="49">
        <f t="shared" si="71"/>
        <v>200887522.95</v>
      </c>
      <c r="N161" s="50">
        <f t="shared" si="61"/>
        <v>0.859515220116902</v>
      </c>
      <c r="O161" s="49">
        <f t="shared" si="71"/>
        <v>198091587.95</v>
      </c>
      <c r="P161" s="50">
        <f t="shared" si="62"/>
        <v>0.986082087334534</v>
      </c>
      <c r="Q161" s="49">
        <f t="shared" si="71"/>
        <v>124651535.52</v>
      </c>
      <c r="R161" s="49">
        <f t="shared" si="71"/>
        <v>18382950.54</v>
      </c>
      <c r="S161" s="50">
        <f t="shared" si="63"/>
        <v>0.147474721938347</v>
      </c>
      <c r="T161" s="49">
        <f t="shared" si="71"/>
        <v>36255049.95</v>
      </c>
    </row>
    <row r="162" spans="1:20">
      <c r="A162" s="51" t="s">
        <v>173</v>
      </c>
      <c r="B162" s="52">
        <f>SUM(B161,B146,B132)</f>
        <v>154329635.92</v>
      </c>
      <c r="C162" s="52">
        <f t="shared" ref="C162:T162" si="72">SUM(C161,C146,C132)</f>
        <v>115833294.47</v>
      </c>
      <c r="D162" s="53">
        <f t="shared" si="57"/>
        <v>0.750557686341233</v>
      </c>
      <c r="E162" s="52">
        <f t="shared" si="72"/>
        <v>113419028.82</v>
      </c>
      <c r="F162" s="53">
        <f t="shared" si="58"/>
        <v>0.979157411856008</v>
      </c>
      <c r="G162" s="52">
        <f t="shared" si="72"/>
        <v>1422387246.88</v>
      </c>
      <c r="H162" s="52">
        <f t="shared" si="72"/>
        <v>24235240.63</v>
      </c>
      <c r="I162" s="53">
        <f t="shared" si="59"/>
        <v>0.0170384265488599</v>
      </c>
      <c r="J162" s="52">
        <f t="shared" si="72"/>
        <v>40822007.21</v>
      </c>
      <c r="K162" s="53">
        <f t="shared" si="60"/>
        <v>0.0286996437148483</v>
      </c>
      <c r="L162" s="52">
        <f t="shared" si="72"/>
        <v>604300117.38</v>
      </c>
      <c r="M162" s="52">
        <f t="shared" si="72"/>
        <v>456540857.79</v>
      </c>
      <c r="N162" s="53">
        <f t="shared" si="61"/>
        <v>0.755486958647925</v>
      </c>
      <c r="O162" s="52">
        <f t="shared" si="72"/>
        <v>445446504.96</v>
      </c>
      <c r="P162" s="53">
        <f t="shared" si="62"/>
        <v>0.975699101973688</v>
      </c>
      <c r="Q162" s="52">
        <f t="shared" si="72"/>
        <v>1130115632.47</v>
      </c>
      <c r="R162" s="52">
        <f t="shared" si="72"/>
        <v>107009037.84</v>
      </c>
      <c r="S162" s="53">
        <f t="shared" si="63"/>
        <v>0.0946885741294625</v>
      </c>
      <c r="T162" s="52">
        <f t="shared" si="72"/>
        <v>178865787</v>
      </c>
    </row>
    <row r="163" spans="1:20">
      <c r="A163" s="40" t="s">
        <v>174</v>
      </c>
      <c r="B163" s="43">
        <f>VLOOKUP(A163,[1]ticket_pivot!$A$6:$V$127,2,FALSE)</f>
        <v>1406911.5</v>
      </c>
      <c r="C163" s="43">
        <f>VLOOKUP(A163,[1]ticket_pivot!$A$6:$V$127,3,FALSE)</f>
        <v>632188.99</v>
      </c>
      <c r="D163" s="44">
        <f t="shared" si="57"/>
        <v>0.449345243108753</v>
      </c>
      <c r="E163" s="43">
        <f>VLOOKUP(A163,[1]ticket_pivot!$A$6:$V$127,4,FALSE)</f>
        <v>631623.39</v>
      </c>
      <c r="F163" s="44">
        <f t="shared" si="58"/>
        <v>0.999105330828365</v>
      </c>
      <c r="G163" s="43">
        <f>VLOOKUP(A163,[1]Sheet12!$A$5:$G$125,2,FALSE)</f>
        <v>10450073.25</v>
      </c>
      <c r="H163" s="43">
        <f>VLOOKUP(A163,[1]NPL!$A$5:$H$119,2,FALSE)</f>
        <v>534087.68</v>
      </c>
      <c r="I163" s="44">
        <f t="shared" si="59"/>
        <v>0.0511085106508703</v>
      </c>
      <c r="J163" s="43">
        <f>VLOOKUP(A163,[1]PAR!$A$5:$H$120,2,FALSE)</f>
        <v>832158.65</v>
      </c>
      <c r="K163" s="44">
        <f t="shared" si="60"/>
        <v>0.0796318485135977</v>
      </c>
      <c r="L163" s="43">
        <f>VLOOKUP(A163,[1]ticket_pivot!$A$6:$V$127,5,FALSE)</f>
        <v>11932341.43</v>
      </c>
      <c r="M163" s="43">
        <f>VLOOKUP(A163,[1]ticket_pivot!$A$6:$V$127,6,FALSE)</f>
        <v>7703494.66</v>
      </c>
      <c r="N163" s="44">
        <f t="shared" si="61"/>
        <v>0.645597907601945</v>
      </c>
      <c r="O163" s="43">
        <f>VLOOKUP(A163,[1]ticket_pivot!$A$6:$V$127,7,FALSE)</f>
        <v>7512171.34000001</v>
      </c>
      <c r="P163" s="44">
        <f t="shared" si="62"/>
        <v>0.975164087411726</v>
      </c>
      <c r="Q163" s="43">
        <f>VLOOKUP(A163,[1]Sheet12!$A$5:$G$125,3,FALSE)</f>
        <v>57676283.68</v>
      </c>
      <c r="R163" s="43">
        <f>VLOOKUP(A163,[1]NPL!$A$5:$H$119,3,FALSE)</f>
        <v>5531431.23</v>
      </c>
      <c r="S163" s="44">
        <f t="shared" si="63"/>
        <v>0.0959047788288429</v>
      </c>
      <c r="T163" s="43">
        <f>VLOOKUP(A163,[1]PAR!$A$5:$H$120,3,FALSE)</f>
        <v>5703141.83</v>
      </c>
    </row>
    <row r="164" spans="1:20">
      <c r="A164" s="40" t="s">
        <v>175</v>
      </c>
      <c r="B164" s="43">
        <f>VLOOKUP(A164,[1]ticket_pivot!$A$6:$V$127,2,FALSE)</f>
        <v>2378387.21</v>
      </c>
      <c r="C164" s="43">
        <f>VLOOKUP(A164,[1]ticket_pivot!$A$6:$V$127,3,FALSE)</f>
        <v>2276963.46</v>
      </c>
      <c r="D164" s="44">
        <f t="shared" si="57"/>
        <v>0.957356081644923</v>
      </c>
      <c r="E164" s="43">
        <f>VLOOKUP(A164,[1]ticket_pivot!$A$6:$V$127,4,FALSE)</f>
        <v>2213579.9</v>
      </c>
      <c r="F164" s="44">
        <f t="shared" si="58"/>
        <v>0.972163119385324</v>
      </c>
      <c r="G164" s="43">
        <f>VLOOKUP(A164,[1]Sheet12!$A$5:$G$125,2,FALSE)</f>
        <v>21509909.89</v>
      </c>
      <c r="H164" s="43">
        <f>VLOOKUP(A164,[1]NPL!$A$5:$H$119,2,FALSE)</f>
        <v>0</v>
      </c>
      <c r="I164" s="44">
        <f t="shared" si="59"/>
        <v>0</v>
      </c>
      <c r="J164" s="43">
        <f>VLOOKUP(A164,[1]PAR!$A$5:$H$120,2,FALSE)</f>
        <v>619168.16</v>
      </c>
      <c r="K164" s="44">
        <f t="shared" si="60"/>
        <v>0.0287852512244997</v>
      </c>
      <c r="L164" s="43">
        <f>VLOOKUP(A164,[1]ticket_pivot!$A$6:$V$127,5,FALSE)</f>
        <v>13464423.78</v>
      </c>
      <c r="M164" s="43">
        <f>VLOOKUP(A164,[1]ticket_pivot!$A$6:$V$127,6,FALSE)</f>
        <v>11298153.54</v>
      </c>
      <c r="N164" s="44">
        <f t="shared" si="61"/>
        <v>0.839111552384606</v>
      </c>
      <c r="O164" s="43">
        <f>VLOOKUP(A164,[1]ticket_pivot!$A$6:$V$127,7,FALSE)</f>
        <v>11063169.46</v>
      </c>
      <c r="P164" s="44">
        <f t="shared" si="62"/>
        <v>0.979201550132235</v>
      </c>
      <c r="Q164" s="43">
        <f>VLOOKUP(A164,[1]Sheet12!$A$5:$G$125,3,FALSE)</f>
        <v>57940967.67</v>
      </c>
      <c r="R164" s="43">
        <f>VLOOKUP(A164,[1]NPL!$A$5:$H$119,3,FALSE)</f>
        <v>893970.85</v>
      </c>
      <c r="S164" s="44">
        <f t="shared" si="63"/>
        <v>0.0154289941288445</v>
      </c>
      <c r="T164" s="43">
        <f>VLOOKUP(A164,[1]PAR!$A$5:$H$120,3,FALSE)</f>
        <v>6789983.34</v>
      </c>
    </row>
    <row r="165" spans="1:20">
      <c r="A165" s="45" t="s">
        <v>176</v>
      </c>
      <c r="B165" s="46">
        <f>SUM(B163:B164)</f>
        <v>3785298.71</v>
      </c>
      <c r="C165" s="46">
        <f t="shared" ref="C165:T165" si="73">SUM(C163:C164)</f>
        <v>2909152.45</v>
      </c>
      <c r="D165" s="47">
        <f t="shared" si="57"/>
        <v>0.768539730382335</v>
      </c>
      <c r="E165" s="46">
        <f t="shared" si="73"/>
        <v>2845203.29</v>
      </c>
      <c r="F165" s="47">
        <f t="shared" si="58"/>
        <v>0.978017941273583</v>
      </c>
      <c r="G165" s="46">
        <f t="shared" si="73"/>
        <v>31959983.14</v>
      </c>
      <c r="H165" s="46">
        <f t="shared" si="73"/>
        <v>534087.68</v>
      </c>
      <c r="I165" s="47">
        <f t="shared" si="59"/>
        <v>0.0167111377268392</v>
      </c>
      <c r="J165" s="46">
        <f t="shared" si="73"/>
        <v>1451326.81</v>
      </c>
      <c r="K165" s="47">
        <f t="shared" si="60"/>
        <v>0.045410750176009</v>
      </c>
      <c r="L165" s="46">
        <f t="shared" si="73"/>
        <v>25396765.21</v>
      </c>
      <c r="M165" s="46">
        <f t="shared" si="73"/>
        <v>19001648.2</v>
      </c>
      <c r="N165" s="47">
        <f t="shared" si="61"/>
        <v>0.748191670981708</v>
      </c>
      <c r="O165" s="46">
        <f t="shared" si="73"/>
        <v>18575340.8</v>
      </c>
      <c r="P165" s="47">
        <f t="shared" si="62"/>
        <v>0.977564714623019</v>
      </c>
      <c r="Q165" s="46">
        <f t="shared" si="73"/>
        <v>115617251.35</v>
      </c>
      <c r="R165" s="46">
        <f t="shared" si="73"/>
        <v>6425402.08</v>
      </c>
      <c r="S165" s="47">
        <f t="shared" si="63"/>
        <v>0.0555747693789124</v>
      </c>
      <c r="T165" s="46">
        <f t="shared" si="73"/>
        <v>12493125.17</v>
      </c>
    </row>
    <row r="166" spans="1:20">
      <c r="A166" s="40" t="s">
        <v>177</v>
      </c>
      <c r="B166" s="43">
        <f>VLOOKUP(A166,[1]ticket_pivot!$A$6:$V$127,2,FALSE)</f>
        <v>4766038.88</v>
      </c>
      <c r="C166" s="43">
        <f>VLOOKUP(A166,[1]ticket_pivot!$A$6:$V$127,3,FALSE)</f>
        <v>3660697.21</v>
      </c>
      <c r="D166" s="44">
        <f t="shared" si="57"/>
        <v>0.768079594432515</v>
      </c>
      <c r="E166" s="43">
        <f>VLOOKUP(A166,[1]ticket_pivot!$A$6:$V$127,4,FALSE)</f>
        <v>3633605.98</v>
      </c>
      <c r="F166" s="44">
        <f t="shared" si="58"/>
        <v>0.992599434357479</v>
      </c>
      <c r="G166" s="43">
        <f>VLOOKUP(A166,[1]Sheet12!$A$5:$G$125,2,FALSE)</f>
        <v>45357945.06</v>
      </c>
      <c r="H166" s="43">
        <f>VLOOKUP(A166,[1]NPL!$A$5:$H$119,2,FALSE)</f>
        <v>13688.23</v>
      </c>
      <c r="I166" s="44">
        <f t="shared" si="59"/>
        <v>0.000301782410598475</v>
      </c>
      <c r="J166" s="43">
        <f>VLOOKUP(A166,[1]PAR!$A$5:$H$120,2,FALSE)</f>
        <v>1428685.58</v>
      </c>
      <c r="K166" s="44">
        <f t="shared" si="60"/>
        <v>0.0314980226310985</v>
      </c>
      <c r="L166" s="43">
        <f>VLOOKUP(A166,[1]ticket_pivot!$A$6:$V$127,5,FALSE)</f>
        <v>14729702.52</v>
      </c>
      <c r="M166" s="43">
        <f>VLOOKUP(A166,[1]ticket_pivot!$A$6:$V$127,6,FALSE)</f>
        <v>8939648.07</v>
      </c>
      <c r="N166" s="44">
        <f t="shared" si="61"/>
        <v>0.606913008450899</v>
      </c>
      <c r="O166" s="43">
        <f>VLOOKUP(A166,[1]ticket_pivot!$A$6:$V$127,7,FALSE)</f>
        <v>8761063.83</v>
      </c>
      <c r="P166" s="44">
        <f t="shared" si="62"/>
        <v>0.980023347831858</v>
      </c>
      <c r="Q166" s="43">
        <f>VLOOKUP(A166,[1]Sheet12!$A$5:$G$125,3,FALSE)</f>
        <v>77193321.33</v>
      </c>
      <c r="R166" s="43">
        <f>VLOOKUP(A166,[1]NPL!$A$5:$H$119,3,FALSE)</f>
        <v>6266428.8</v>
      </c>
      <c r="S166" s="44">
        <f t="shared" si="63"/>
        <v>0.0811783803576884</v>
      </c>
      <c r="T166" s="43">
        <f>VLOOKUP(A166,[1]PAR!$A$5:$H$120,3,FALSE)</f>
        <v>10495481.84</v>
      </c>
    </row>
    <row r="167" spans="1:20">
      <c r="A167" s="40" t="s">
        <v>178</v>
      </c>
      <c r="B167" s="43">
        <f>VLOOKUP(A167,[1]ticket_pivot!$A$6:$V$127,2,FALSE)</f>
        <v>2503064.45</v>
      </c>
      <c r="C167" s="43">
        <f>VLOOKUP(A167,[1]ticket_pivot!$A$6:$V$127,3,FALSE)</f>
        <v>1777441.62</v>
      </c>
      <c r="D167" s="44">
        <f t="shared" si="57"/>
        <v>0.710106214004997</v>
      </c>
      <c r="E167" s="43">
        <f>VLOOKUP(A167,[1]ticket_pivot!$A$6:$V$127,4,FALSE)</f>
        <v>1752380.68</v>
      </c>
      <c r="F167" s="44">
        <f t="shared" si="58"/>
        <v>0.985900555203608</v>
      </c>
      <c r="G167" s="43">
        <f>VLOOKUP(A167,[1]Sheet12!$A$5:$G$125,2,FALSE)</f>
        <v>23409257.3</v>
      </c>
      <c r="H167" s="43">
        <f>VLOOKUP(A167,[1]NPL!$A$5:$H$119,2,FALSE)</f>
        <v>297271.96</v>
      </c>
      <c r="I167" s="44">
        <f t="shared" si="59"/>
        <v>0.0126989060861833</v>
      </c>
      <c r="J167" s="43">
        <f>VLOOKUP(A167,[1]PAR!$A$5:$H$120,2,FALSE)</f>
        <v>721333.32</v>
      </c>
      <c r="K167" s="44">
        <f t="shared" si="60"/>
        <v>0.0308140198877647</v>
      </c>
      <c r="L167" s="43">
        <f>VLOOKUP(A167,[1]ticket_pivot!$A$6:$V$127,5,FALSE)</f>
        <v>9423510.78</v>
      </c>
      <c r="M167" s="43">
        <f>VLOOKUP(A167,[1]ticket_pivot!$A$6:$V$127,6,FALSE)</f>
        <v>7345207.21</v>
      </c>
      <c r="N167" s="44">
        <f t="shared" si="61"/>
        <v>0.779455489729911</v>
      </c>
      <c r="O167" s="43">
        <f>VLOOKUP(A167,[1]ticket_pivot!$A$6:$V$127,7,FALSE)</f>
        <v>7333688.64</v>
      </c>
      <c r="P167" s="44">
        <f t="shared" si="62"/>
        <v>0.998431825043095</v>
      </c>
      <c r="Q167" s="43">
        <f>VLOOKUP(A167,[1]Sheet12!$A$5:$G$125,3,FALSE)</f>
        <v>17282374.37</v>
      </c>
      <c r="R167" s="43">
        <f>VLOOKUP(A167,[1]NPL!$A$5:$H$119,3,FALSE)</f>
        <v>1548276.2</v>
      </c>
      <c r="S167" s="44">
        <f t="shared" si="63"/>
        <v>0.089587007366743</v>
      </c>
      <c r="T167" s="43">
        <f>VLOOKUP(A167,[1]PAR!$A$5:$H$120,3,FALSE)</f>
        <v>2304775.49</v>
      </c>
    </row>
    <row r="168" spans="1:20">
      <c r="A168" s="40" t="s">
        <v>179</v>
      </c>
      <c r="B168" s="43">
        <f>VLOOKUP(A168,[1]ticket_pivot!$A$6:$V$127,2,FALSE)</f>
        <v>2770957.48</v>
      </c>
      <c r="C168" s="43">
        <f>VLOOKUP(A168,[1]ticket_pivot!$A$6:$V$127,3,FALSE)</f>
        <v>1893484.05</v>
      </c>
      <c r="D168" s="44">
        <f t="shared" si="57"/>
        <v>0.683332048097685</v>
      </c>
      <c r="E168" s="43">
        <f>VLOOKUP(A168,[1]ticket_pivot!$A$6:$V$127,4,FALSE)</f>
        <v>1778718.07</v>
      </c>
      <c r="F168" s="44">
        <f t="shared" si="58"/>
        <v>0.939388990364086</v>
      </c>
      <c r="G168" s="43">
        <f>VLOOKUP(A168,[1]Sheet12!$A$5:$G$125,2,FALSE)</f>
        <v>20760539.44</v>
      </c>
      <c r="H168" s="43">
        <f>VLOOKUP(A168,[1]NPL!$A$5:$H$119,2,FALSE)</f>
        <v>768348.29</v>
      </c>
      <c r="I168" s="44">
        <f t="shared" si="59"/>
        <v>0.0370100349377049</v>
      </c>
      <c r="J168" s="43">
        <f>VLOOKUP(A168,[1]PAR!$A$5:$H$120,2,FALSE)</f>
        <v>768348.29</v>
      </c>
      <c r="K168" s="44">
        <f t="shared" si="60"/>
        <v>0.0370100349377049</v>
      </c>
      <c r="L168" s="43">
        <f>VLOOKUP(A168,[1]ticket_pivot!$A$6:$V$127,5,FALSE)</f>
        <v>11158502.03</v>
      </c>
      <c r="M168" s="43">
        <f>VLOOKUP(A168,[1]ticket_pivot!$A$6:$V$127,6,FALSE)</f>
        <v>9627578.63</v>
      </c>
      <c r="N168" s="44">
        <f t="shared" si="61"/>
        <v>0.862802068244997</v>
      </c>
      <c r="O168" s="43">
        <f>VLOOKUP(A168,[1]ticket_pivot!$A$6:$V$127,7,FALSE)</f>
        <v>9331816.19</v>
      </c>
      <c r="P168" s="44">
        <f t="shared" si="62"/>
        <v>0.969279665078155</v>
      </c>
      <c r="Q168" s="43">
        <f>VLOOKUP(A168,[1]Sheet12!$A$5:$G$125,3,FALSE)</f>
        <v>44245050.24</v>
      </c>
      <c r="R168" s="43">
        <f>VLOOKUP(A168,[1]NPL!$A$5:$H$119,3,FALSE)</f>
        <v>575982.26</v>
      </c>
      <c r="S168" s="44">
        <f t="shared" si="63"/>
        <v>0.0130180044293244</v>
      </c>
      <c r="T168" s="43">
        <f>VLOOKUP(A168,[1]PAR!$A$5:$H$120,3,FALSE)</f>
        <v>1388400.66</v>
      </c>
    </row>
    <row r="169" spans="1:20">
      <c r="A169" s="45" t="s">
        <v>180</v>
      </c>
      <c r="B169" s="46">
        <f>SUM(B166:B168)</f>
        <v>10040060.81</v>
      </c>
      <c r="C169" s="46">
        <f t="shared" ref="C169:T169" si="74">SUM(C166:C168)</f>
        <v>7331622.88</v>
      </c>
      <c r="D169" s="47">
        <f t="shared" si="57"/>
        <v>0.730236899830092</v>
      </c>
      <c r="E169" s="46">
        <f t="shared" si="74"/>
        <v>7164704.73</v>
      </c>
      <c r="F169" s="47">
        <f t="shared" si="58"/>
        <v>0.97723312386193</v>
      </c>
      <c r="G169" s="46">
        <f t="shared" si="74"/>
        <v>89527741.8</v>
      </c>
      <c r="H169" s="46">
        <f t="shared" si="74"/>
        <v>1079308.48</v>
      </c>
      <c r="I169" s="47">
        <f t="shared" si="59"/>
        <v>0.0120555758282289</v>
      </c>
      <c r="J169" s="46">
        <f t="shared" si="74"/>
        <v>2918367.19</v>
      </c>
      <c r="K169" s="47">
        <f t="shared" si="60"/>
        <v>0.0325973506236701</v>
      </c>
      <c r="L169" s="46">
        <f t="shared" si="74"/>
        <v>35311715.33</v>
      </c>
      <c r="M169" s="46">
        <f t="shared" si="74"/>
        <v>25912433.91</v>
      </c>
      <c r="N169" s="47">
        <f t="shared" si="61"/>
        <v>0.733819744179502</v>
      </c>
      <c r="O169" s="46">
        <f t="shared" si="74"/>
        <v>25426568.66</v>
      </c>
      <c r="P169" s="47">
        <f t="shared" si="62"/>
        <v>0.981249725452749</v>
      </c>
      <c r="Q169" s="46">
        <f t="shared" si="74"/>
        <v>138720745.94</v>
      </c>
      <c r="R169" s="46">
        <f t="shared" si="74"/>
        <v>8390687.26</v>
      </c>
      <c r="S169" s="47">
        <f t="shared" si="63"/>
        <v>0.0604861746031064</v>
      </c>
      <c r="T169" s="46">
        <f t="shared" si="74"/>
        <v>14188657.99</v>
      </c>
    </row>
    <row r="170" spans="1:20">
      <c r="A170" s="40" t="s">
        <v>181</v>
      </c>
      <c r="B170" s="43">
        <f>VLOOKUP(A170,[1]ticket_pivot!$A$6:$V$127,2,FALSE)</f>
        <v>678577.42</v>
      </c>
      <c r="C170" s="43">
        <f>VLOOKUP(A170,[1]ticket_pivot!$A$6:$V$127,3,FALSE)</f>
        <v>486537.78</v>
      </c>
      <c r="D170" s="44">
        <f t="shared" si="57"/>
        <v>0.716996713506913</v>
      </c>
      <c r="E170" s="43">
        <f>VLOOKUP(A170,[1]ticket_pivot!$A$6:$V$127,4,FALSE)</f>
        <v>486358.43</v>
      </c>
      <c r="F170" s="44">
        <f t="shared" si="58"/>
        <v>0.999631374977705</v>
      </c>
      <c r="G170" s="43">
        <f>VLOOKUP(A170,[1]Sheet12!$A$5:$G$125,2,FALSE)</f>
        <v>6917988.49</v>
      </c>
      <c r="H170" s="43">
        <f>VLOOKUP(A170,[1]NPL!$A$5:$H$119,2,FALSE)</f>
        <v>97109.37</v>
      </c>
      <c r="I170" s="44">
        <f t="shared" si="59"/>
        <v>0.0140372263036246</v>
      </c>
      <c r="J170" s="43">
        <f>VLOOKUP(A170,[1]PAR!$A$5:$H$120,2,FALSE)</f>
        <v>97109.37</v>
      </c>
      <c r="K170" s="44">
        <f t="shared" si="60"/>
        <v>0.0140372263036246</v>
      </c>
      <c r="L170" s="43">
        <f>VLOOKUP(A170,[1]ticket_pivot!$A$6:$V$127,5,FALSE)</f>
        <v>5013497.23</v>
      </c>
      <c r="M170" s="43">
        <f>VLOOKUP(A170,[1]ticket_pivot!$A$6:$V$127,6,FALSE)</f>
        <v>1916263.9</v>
      </c>
      <c r="N170" s="44">
        <f t="shared" si="61"/>
        <v>0.382220995063759</v>
      </c>
      <c r="O170" s="43">
        <f>VLOOKUP(A170,[1]ticket_pivot!$A$6:$V$127,7,FALSE)</f>
        <v>1914723.89</v>
      </c>
      <c r="P170" s="44">
        <f t="shared" si="62"/>
        <v>0.999196347642932</v>
      </c>
      <c r="Q170" s="43">
        <f>VLOOKUP(A170,[1]Sheet12!$A$5:$G$125,3,FALSE)</f>
        <v>14661636.79</v>
      </c>
      <c r="R170" s="43">
        <f>VLOOKUP(A170,[1]NPL!$A$5:$H$119,3,FALSE)</f>
        <v>1784363.09</v>
      </c>
      <c r="S170" s="44">
        <f t="shared" si="63"/>
        <v>0.121702857297422</v>
      </c>
      <c r="T170" s="43">
        <f>VLOOKUP(A170,[1]PAR!$A$5:$H$120,3,FALSE)</f>
        <v>3993360.38</v>
      </c>
    </row>
    <row r="171" spans="1:20">
      <c r="A171" s="40" t="s">
        <v>182</v>
      </c>
      <c r="B171" s="43">
        <f>VLOOKUP(A171,[1]ticket_pivot!$A$6:$V$127,2,FALSE)</f>
        <v>3266453.25</v>
      </c>
      <c r="C171" s="43">
        <f>VLOOKUP(A171,[1]ticket_pivot!$A$6:$V$127,3,FALSE)</f>
        <v>2633250.3</v>
      </c>
      <c r="D171" s="44">
        <f t="shared" si="57"/>
        <v>0.806149697688158</v>
      </c>
      <c r="E171" s="43">
        <f>VLOOKUP(A171,[1]ticket_pivot!$A$6:$V$127,4,FALSE)</f>
        <v>2568704.32</v>
      </c>
      <c r="F171" s="44">
        <f t="shared" si="58"/>
        <v>0.975488095453744</v>
      </c>
      <c r="G171" s="43">
        <f>VLOOKUP(A171,[1]Sheet12!$A$5:$G$125,2,FALSE)</f>
        <v>29411233.98</v>
      </c>
      <c r="H171" s="43">
        <f>VLOOKUP(A171,[1]NPL!$A$5:$H$119,2,FALSE)</f>
        <v>361248.94</v>
      </c>
      <c r="I171" s="44">
        <f t="shared" si="59"/>
        <v>0.0122826855971311</v>
      </c>
      <c r="J171" s="43">
        <f>VLOOKUP(A171,[1]PAR!$A$5:$H$120,2,FALSE)</f>
        <v>596116.56</v>
      </c>
      <c r="K171" s="44">
        <f t="shared" si="60"/>
        <v>0.0202683287755069</v>
      </c>
      <c r="L171" s="43">
        <f>VLOOKUP(A171,[1]ticket_pivot!$A$6:$V$127,5,FALSE)</f>
        <v>8398455.28</v>
      </c>
      <c r="M171" s="43">
        <f>VLOOKUP(A171,[1]ticket_pivot!$A$6:$V$127,6,FALSE)</f>
        <v>5531538.93</v>
      </c>
      <c r="N171" s="44">
        <f t="shared" si="61"/>
        <v>0.658637659614948</v>
      </c>
      <c r="O171" s="43">
        <f>VLOOKUP(A171,[1]ticket_pivot!$A$6:$V$127,7,FALSE)</f>
        <v>5447096.38</v>
      </c>
      <c r="P171" s="44">
        <f t="shared" si="62"/>
        <v>0.984734347698065</v>
      </c>
      <c r="Q171" s="43">
        <f>VLOOKUP(A171,[1]Sheet12!$A$5:$G$125,3,FALSE)</f>
        <v>55513307.33</v>
      </c>
      <c r="R171" s="43">
        <f>VLOOKUP(A171,[1]NPL!$A$5:$H$119,3,FALSE)</f>
        <v>1472178.55</v>
      </c>
      <c r="S171" s="44">
        <f t="shared" si="63"/>
        <v>0.0265193810422536</v>
      </c>
      <c r="T171" s="43">
        <f>VLOOKUP(A171,[1]PAR!$A$5:$H$120,3,FALSE)</f>
        <v>3708378.2</v>
      </c>
    </row>
    <row r="172" spans="1:20">
      <c r="A172" s="45" t="s">
        <v>183</v>
      </c>
      <c r="B172" s="46">
        <f>SUM(B170:B171)</f>
        <v>3945030.67</v>
      </c>
      <c r="C172" s="46">
        <f t="shared" ref="C172:T172" si="75">SUM(C170:C171)</f>
        <v>3119788.08</v>
      </c>
      <c r="D172" s="47">
        <f t="shared" si="57"/>
        <v>0.790814657975777</v>
      </c>
      <c r="E172" s="46">
        <f t="shared" si="75"/>
        <v>3055062.75</v>
      </c>
      <c r="F172" s="47">
        <f t="shared" si="58"/>
        <v>0.979253292742884</v>
      </c>
      <c r="G172" s="46">
        <f t="shared" si="75"/>
        <v>36329222.47</v>
      </c>
      <c r="H172" s="46">
        <f t="shared" si="75"/>
        <v>458358.31</v>
      </c>
      <c r="I172" s="47">
        <f t="shared" si="59"/>
        <v>0.0126167938325271</v>
      </c>
      <c r="J172" s="46">
        <f t="shared" si="75"/>
        <v>693225.93</v>
      </c>
      <c r="K172" s="47">
        <f t="shared" si="60"/>
        <v>0.0190817717217167</v>
      </c>
      <c r="L172" s="46">
        <f t="shared" si="75"/>
        <v>13411952.51</v>
      </c>
      <c r="M172" s="46">
        <f t="shared" si="75"/>
        <v>7447802.83</v>
      </c>
      <c r="N172" s="47">
        <f t="shared" si="61"/>
        <v>0.555310856077584</v>
      </c>
      <c r="O172" s="46">
        <f t="shared" si="75"/>
        <v>7361820.27</v>
      </c>
      <c r="P172" s="47">
        <f t="shared" si="62"/>
        <v>0.988455311994343</v>
      </c>
      <c r="Q172" s="46">
        <f t="shared" si="75"/>
        <v>70174944.12</v>
      </c>
      <c r="R172" s="46">
        <f t="shared" si="75"/>
        <v>3256541.64</v>
      </c>
      <c r="S172" s="47">
        <f t="shared" si="63"/>
        <v>0.0464060453604534</v>
      </c>
      <c r="T172" s="46">
        <f t="shared" si="75"/>
        <v>7701738.58</v>
      </c>
    </row>
    <row r="173" spans="1:20">
      <c r="A173" s="48" t="s">
        <v>184</v>
      </c>
      <c r="B173" s="49">
        <f>SUM(B172,B169,B165)</f>
        <v>17770390.19</v>
      </c>
      <c r="C173" s="49">
        <f t="shared" ref="C173:T173" si="76">SUM(C172,C169,C165)</f>
        <v>13360563.41</v>
      </c>
      <c r="D173" s="50">
        <f t="shared" si="57"/>
        <v>0.751844122000114</v>
      </c>
      <c r="E173" s="49">
        <f t="shared" si="76"/>
        <v>13064970.77</v>
      </c>
      <c r="F173" s="50">
        <f t="shared" si="58"/>
        <v>0.977875735406581</v>
      </c>
      <c r="G173" s="49">
        <f t="shared" si="76"/>
        <v>157816947.41</v>
      </c>
      <c r="H173" s="49">
        <f t="shared" si="76"/>
        <v>2071754.47</v>
      </c>
      <c r="I173" s="50">
        <f t="shared" si="59"/>
        <v>0.0131275791605428</v>
      </c>
      <c r="J173" s="49">
        <f t="shared" si="76"/>
        <v>5062919.93</v>
      </c>
      <c r="K173" s="50">
        <f t="shared" si="60"/>
        <v>0.0320809647701955</v>
      </c>
      <c r="L173" s="49">
        <f t="shared" si="76"/>
        <v>74120433.05</v>
      </c>
      <c r="M173" s="49">
        <f t="shared" si="76"/>
        <v>52361884.94</v>
      </c>
      <c r="N173" s="50">
        <f t="shared" si="61"/>
        <v>0.706443321839172</v>
      </c>
      <c r="O173" s="49">
        <f t="shared" si="76"/>
        <v>51363729.73</v>
      </c>
      <c r="P173" s="50">
        <f t="shared" si="62"/>
        <v>0.980937370548372</v>
      </c>
      <c r="Q173" s="49">
        <f t="shared" si="76"/>
        <v>324512941.41</v>
      </c>
      <c r="R173" s="49">
        <f t="shared" si="76"/>
        <v>18072630.98</v>
      </c>
      <c r="S173" s="50">
        <f t="shared" si="63"/>
        <v>0.0556915570191897</v>
      </c>
      <c r="T173" s="49">
        <f t="shared" si="76"/>
        <v>34383521.74</v>
      </c>
    </row>
    <row r="174" spans="1:20">
      <c r="A174" s="40" t="s">
        <v>185</v>
      </c>
      <c r="B174" s="43">
        <f>VLOOKUP(A174,[1]ticket_pivot!$A$6:$V$127,2,FALSE)</f>
        <v>2248933.46</v>
      </c>
      <c r="C174" s="43">
        <f>VLOOKUP(A174,[1]ticket_pivot!$A$6:$V$127,3,FALSE)</f>
        <v>2053637.31</v>
      </c>
      <c r="D174" s="44">
        <f t="shared" si="57"/>
        <v>0.913160547666893</v>
      </c>
      <c r="E174" s="43">
        <f>VLOOKUP(A174,[1]ticket_pivot!$A$6:$V$127,4,FALSE)</f>
        <v>2014810.63</v>
      </c>
      <c r="F174" s="44">
        <f t="shared" si="58"/>
        <v>0.981093701496882</v>
      </c>
      <c r="G174" s="43">
        <f>VLOOKUP(A174,[1]Sheet12!$A$5:$G$125,2,FALSE)</f>
        <v>20837205.34</v>
      </c>
      <c r="H174" s="43">
        <f>VLOOKUP(A174,[1]NPL!$A$5:$H$119,2,FALSE)</f>
        <v>55350.73</v>
      </c>
      <c r="I174" s="44">
        <f t="shared" si="59"/>
        <v>0.00265634134217348</v>
      </c>
      <c r="J174" s="43">
        <f>VLOOKUP(A174,[1]PAR!$A$5:$H$120,2,FALSE)</f>
        <v>542487.55</v>
      </c>
      <c r="K174" s="44">
        <f t="shared" si="60"/>
        <v>0.0260345637117957</v>
      </c>
      <c r="L174" s="43">
        <f>VLOOKUP(A174,[1]ticket_pivot!$A$6:$V$127,5,FALSE)</f>
        <v>8256319.26</v>
      </c>
      <c r="M174" s="43">
        <f>VLOOKUP(A174,[1]ticket_pivot!$A$6:$V$127,6,FALSE)</f>
        <v>5403072.16</v>
      </c>
      <c r="N174" s="44">
        <f t="shared" si="61"/>
        <v>0.654416573518016</v>
      </c>
      <c r="O174" s="43">
        <f>VLOOKUP(A174,[1]ticket_pivot!$A$6:$V$127,7,FALSE)</f>
        <v>5302567.31</v>
      </c>
      <c r="P174" s="44">
        <f t="shared" si="62"/>
        <v>0.981398573436783</v>
      </c>
      <c r="Q174" s="43">
        <f>VLOOKUP(A174,[1]Sheet12!$A$5:$G$125,3,FALSE)</f>
        <v>41984879.98</v>
      </c>
      <c r="R174" s="43">
        <f>VLOOKUP(A174,[1]NPL!$A$5:$H$119,3,FALSE)</f>
        <v>2220682.32</v>
      </c>
      <c r="S174" s="44">
        <f t="shared" si="63"/>
        <v>0.0528924298713691</v>
      </c>
      <c r="T174" s="43">
        <f>VLOOKUP(A174,[1]PAR!$A$5:$H$120,3,FALSE)</f>
        <v>2220682.32</v>
      </c>
    </row>
    <row r="175" spans="1:20">
      <c r="A175" s="40" t="s">
        <v>186</v>
      </c>
      <c r="B175" s="43">
        <f>VLOOKUP(A175,[1]ticket_pivot!$A$6:$V$127,2,FALSE)</f>
        <v>1830902.21</v>
      </c>
      <c r="C175" s="43">
        <f>VLOOKUP(A175,[1]ticket_pivot!$A$6:$V$127,3,FALSE)</f>
        <v>1474904.08</v>
      </c>
      <c r="D175" s="44">
        <f t="shared" si="57"/>
        <v>0.805561363105242</v>
      </c>
      <c r="E175" s="43">
        <f>VLOOKUP(A175,[1]ticket_pivot!$A$6:$V$127,4,FALSE)</f>
        <v>1473845.68</v>
      </c>
      <c r="F175" s="44">
        <f t="shared" si="58"/>
        <v>0.999282394011684</v>
      </c>
      <c r="G175" s="43">
        <f>VLOOKUP(A175,[1]Sheet12!$A$5:$G$125,2,FALSE)</f>
        <v>16514875.83</v>
      </c>
      <c r="H175" s="43">
        <f>VLOOKUP(A175,[1]NPL!$A$5:$H$119,2,FALSE)</f>
        <v>330695.31</v>
      </c>
      <c r="I175" s="44">
        <f t="shared" si="59"/>
        <v>0.0200240869749246</v>
      </c>
      <c r="J175" s="43">
        <f>VLOOKUP(A175,[1]PAR!$A$5:$H$120,2,FALSE)</f>
        <v>330695.31</v>
      </c>
      <c r="K175" s="44">
        <f t="shared" si="60"/>
        <v>0.0200240869749246</v>
      </c>
      <c r="L175" s="43">
        <f>VLOOKUP(A175,[1]ticket_pivot!$A$6:$V$127,5,FALSE)</f>
        <v>5352363.87</v>
      </c>
      <c r="M175" s="43">
        <f>VLOOKUP(A175,[1]ticket_pivot!$A$6:$V$127,6,FALSE)</f>
        <v>4542888.57</v>
      </c>
      <c r="N175" s="44">
        <f t="shared" si="61"/>
        <v>0.848763028885777</v>
      </c>
      <c r="O175" s="43">
        <f>VLOOKUP(A175,[1]ticket_pivot!$A$6:$V$127,7,FALSE)</f>
        <v>4530632.31</v>
      </c>
      <c r="P175" s="44">
        <f t="shared" si="62"/>
        <v>0.997302099795945</v>
      </c>
      <c r="Q175" s="43">
        <f>VLOOKUP(A175,[1]Sheet12!$A$5:$G$125,3,FALSE)</f>
        <v>33294603.51</v>
      </c>
      <c r="R175" s="43">
        <f>VLOOKUP(A175,[1]NPL!$A$5:$H$119,3,FALSE)</f>
        <v>0</v>
      </c>
      <c r="S175" s="44">
        <f t="shared" si="63"/>
        <v>0</v>
      </c>
      <c r="T175" s="43">
        <f>VLOOKUP(A175,[1]PAR!$A$5:$H$120,3,FALSE)</f>
        <v>515809.15</v>
      </c>
    </row>
    <row r="176" spans="1:20">
      <c r="A176" s="40" t="s">
        <v>187</v>
      </c>
      <c r="B176" s="43">
        <f>VLOOKUP(A176,[1]ticket_pivot!$A$6:$V$127,2,FALSE)</f>
        <v>3149622.03</v>
      </c>
      <c r="C176" s="43">
        <f>VLOOKUP(A176,[1]ticket_pivot!$A$6:$V$127,3,FALSE)</f>
        <v>2148945.72</v>
      </c>
      <c r="D176" s="44">
        <f t="shared" si="57"/>
        <v>0.682286858401228</v>
      </c>
      <c r="E176" s="43">
        <f>VLOOKUP(A176,[1]ticket_pivot!$A$6:$V$127,4,FALSE)</f>
        <v>2145841.57</v>
      </c>
      <c r="F176" s="44">
        <f t="shared" si="58"/>
        <v>0.998555500973752</v>
      </c>
      <c r="G176" s="43">
        <f>VLOOKUP(A176,[1]Sheet12!$A$5:$G$125,2,FALSE)</f>
        <v>19809192.72</v>
      </c>
      <c r="H176" s="43">
        <f>VLOOKUP(A176,[1]NPL!$A$5:$H$119,2,FALSE)</f>
        <v>716852.68</v>
      </c>
      <c r="I176" s="44">
        <f t="shared" si="59"/>
        <v>0.0361878795432306</v>
      </c>
      <c r="J176" s="43">
        <f>VLOOKUP(A176,[1]PAR!$A$5:$H$120,2,FALSE)</f>
        <v>891674.13</v>
      </c>
      <c r="K176" s="44">
        <f t="shared" si="60"/>
        <v>0.0450131483197565</v>
      </c>
      <c r="L176" s="43">
        <f>VLOOKUP(A176,[1]ticket_pivot!$A$6:$V$127,5,FALSE)</f>
        <v>8751597.8</v>
      </c>
      <c r="M176" s="43">
        <f>VLOOKUP(A176,[1]ticket_pivot!$A$6:$V$127,6,FALSE)</f>
        <v>8355826.82</v>
      </c>
      <c r="N176" s="44">
        <f t="shared" si="61"/>
        <v>0.954777288782627</v>
      </c>
      <c r="O176" s="43">
        <f>VLOOKUP(A176,[1]ticket_pivot!$A$6:$V$127,7,FALSE)</f>
        <v>8304950.48</v>
      </c>
      <c r="P176" s="44">
        <f t="shared" si="62"/>
        <v>0.993911274001248</v>
      </c>
      <c r="Q176" s="43">
        <f>VLOOKUP(A176,[1]Sheet12!$A$5:$G$125,3,FALSE)</f>
        <v>19249523.63</v>
      </c>
      <c r="R176" s="43">
        <f>VLOOKUP(A176,[1]NPL!$A$5:$H$119,3,FALSE)</f>
        <v>0</v>
      </c>
      <c r="S176" s="44">
        <f t="shared" si="63"/>
        <v>0</v>
      </c>
      <c r="T176" s="43">
        <f>VLOOKUP(A176,[1]PAR!$A$5:$H$120,3,FALSE)</f>
        <v>377906.63</v>
      </c>
    </row>
    <row r="177" spans="1:20">
      <c r="A177" s="45" t="s">
        <v>188</v>
      </c>
      <c r="B177" s="46">
        <f>SUM(B174:B176)</f>
        <v>7229457.7</v>
      </c>
      <c r="C177" s="46">
        <f t="shared" ref="C177:T177" si="77">SUM(C174:C176)</f>
        <v>5677487.11</v>
      </c>
      <c r="D177" s="47">
        <f t="shared" si="57"/>
        <v>0.785326831637731</v>
      </c>
      <c r="E177" s="46">
        <f t="shared" si="77"/>
        <v>5634497.88</v>
      </c>
      <c r="F177" s="47">
        <f t="shared" si="58"/>
        <v>0.992428123716163</v>
      </c>
      <c r="G177" s="46">
        <f t="shared" si="77"/>
        <v>57161273.89</v>
      </c>
      <c r="H177" s="46">
        <f t="shared" si="77"/>
        <v>1102898.72</v>
      </c>
      <c r="I177" s="47">
        <f t="shared" si="59"/>
        <v>0.0192945091133273</v>
      </c>
      <c r="J177" s="46">
        <f t="shared" si="77"/>
        <v>1764856.99</v>
      </c>
      <c r="K177" s="47">
        <f t="shared" si="60"/>
        <v>0.0308750465113191</v>
      </c>
      <c r="L177" s="46">
        <f t="shared" si="77"/>
        <v>22360280.93</v>
      </c>
      <c r="M177" s="46">
        <f t="shared" si="77"/>
        <v>18301787.55</v>
      </c>
      <c r="N177" s="47">
        <f t="shared" si="61"/>
        <v>0.818495420844429</v>
      </c>
      <c r="O177" s="46">
        <f t="shared" si="77"/>
        <v>18138150.1</v>
      </c>
      <c r="P177" s="47">
        <f t="shared" si="62"/>
        <v>0.991058936207573</v>
      </c>
      <c r="Q177" s="46">
        <f t="shared" si="77"/>
        <v>94529007.12</v>
      </c>
      <c r="R177" s="46">
        <f t="shared" si="77"/>
        <v>2220682.32</v>
      </c>
      <c r="S177" s="47">
        <f t="shared" si="63"/>
        <v>0.0234920728320033</v>
      </c>
      <c r="T177" s="46">
        <f t="shared" si="77"/>
        <v>3114398.1</v>
      </c>
    </row>
    <row r="178" spans="1:20">
      <c r="A178" s="40" t="s">
        <v>189</v>
      </c>
      <c r="B178" s="43">
        <f>VLOOKUP(A178,[1]ticket_pivot!$A$6:$V$127,2,FALSE)</f>
        <v>8515959.17</v>
      </c>
      <c r="C178" s="43">
        <f>VLOOKUP(A178,[1]ticket_pivot!$A$6:$V$127,3,FALSE)</f>
        <v>5975079.48</v>
      </c>
      <c r="D178" s="44">
        <f t="shared" si="57"/>
        <v>0.701633176101759</v>
      </c>
      <c r="E178" s="43">
        <f>VLOOKUP(A178,[1]ticket_pivot!$A$6:$V$127,4,FALSE)</f>
        <v>5555960.17</v>
      </c>
      <c r="F178" s="44">
        <f t="shared" si="58"/>
        <v>0.92985544185598</v>
      </c>
      <c r="G178" s="43">
        <f>VLOOKUP(A178,[1]Sheet12!$A$5:$G$125,2,FALSE)</f>
        <v>76018844.7200001</v>
      </c>
      <c r="H178" s="43">
        <f>VLOOKUP(A178,[1]NPL!$A$5:$H$119,2,FALSE)</f>
        <v>2868560.7</v>
      </c>
      <c r="I178" s="44">
        <f t="shared" si="59"/>
        <v>0.0377348631193457</v>
      </c>
      <c r="J178" s="43">
        <f>VLOOKUP(A178,[1]PAR!$A$5:$H$120,2,FALSE)</f>
        <v>4272626.38</v>
      </c>
      <c r="K178" s="44">
        <f t="shared" si="60"/>
        <v>0.0562048317852942</v>
      </c>
      <c r="L178" s="43">
        <f>VLOOKUP(A178,[1]ticket_pivot!$A$6:$V$127,5,FALSE)</f>
        <v>11402579.68</v>
      </c>
      <c r="M178" s="43">
        <f>VLOOKUP(A178,[1]ticket_pivot!$A$6:$V$127,6,FALSE)</f>
        <v>8554050.65</v>
      </c>
      <c r="N178" s="44">
        <f t="shared" si="61"/>
        <v>0.750185562395473</v>
      </c>
      <c r="O178" s="43">
        <f>VLOOKUP(A178,[1]ticket_pivot!$A$6:$V$127,7,FALSE)</f>
        <v>8324746.44</v>
      </c>
      <c r="P178" s="44">
        <f t="shared" si="62"/>
        <v>0.973193494008596</v>
      </c>
      <c r="Q178" s="43">
        <f>VLOOKUP(A178,[1]Sheet12!$A$5:$G$125,3,FALSE)</f>
        <v>28796791</v>
      </c>
      <c r="R178" s="43">
        <f>VLOOKUP(A178,[1]NPL!$A$5:$H$119,3,FALSE)</f>
        <v>1816930.13</v>
      </c>
      <c r="S178" s="44">
        <f t="shared" si="63"/>
        <v>0.0630948819957057</v>
      </c>
      <c r="T178" s="43">
        <f>VLOOKUP(A178,[1]PAR!$A$5:$H$120,3,FALSE)</f>
        <v>3322952.42</v>
      </c>
    </row>
    <row r="179" spans="1:20">
      <c r="A179" s="40" t="s">
        <v>190</v>
      </c>
      <c r="B179" s="43">
        <f>VLOOKUP(A179,[1]ticket_pivot!$A$6:$V$127,2,FALSE)</f>
        <v>4531753.33</v>
      </c>
      <c r="C179" s="43">
        <f>VLOOKUP(A179,[1]ticket_pivot!$A$6:$V$127,3,FALSE)</f>
        <v>2722055.77</v>
      </c>
      <c r="D179" s="44">
        <f t="shared" si="57"/>
        <v>0.60066282778017</v>
      </c>
      <c r="E179" s="43">
        <f>VLOOKUP(A179,[1]ticket_pivot!$A$6:$V$127,4,FALSE)</f>
        <v>2661489.05</v>
      </c>
      <c r="F179" s="44">
        <f t="shared" si="58"/>
        <v>0.97774964030219</v>
      </c>
      <c r="G179" s="43">
        <f>VLOOKUP(A179,[1]Sheet12!$A$5:$G$125,2,FALSE)</f>
        <v>29500458.46</v>
      </c>
      <c r="H179" s="43">
        <f>VLOOKUP(A179,[1]NPL!$A$5:$H$119,2,FALSE)</f>
        <v>1184154.93</v>
      </c>
      <c r="I179" s="44">
        <f t="shared" si="59"/>
        <v>0.0401402212648867</v>
      </c>
      <c r="J179" s="43">
        <f>VLOOKUP(A179,[1]PAR!$A$5:$H$120,2,FALSE)</f>
        <v>1504137.83</v>
      </c>
      <c r="K179" s="44">
        <f t="shared" si="60"/>
        <v>0.0509869306620938</v>
      </c>
      <c r="L179" s="43">
        <f>VLOOKUP(A179,[1]ticket_pivot!$A$6:$V$127,5,FALSE)</f>
        <v>8973850.4</v>
      </c>
      <c r="M179" s="43">
        <f>VLOOKUP(A179,[1]ticket_pivot!$A$6:$V$127,6,FALSE)</f>
        <v>7250873.22</v>
      </c>
      <c r="N179" s="44">
        <f t="shared" si="61"/>
        <v>0.80800023365667</v>
      </c>
      <c r="O179" s="43">
        <f>VLOOKUP(A179,[1]ticket_pivot!$A$6:$V$127,7,FALSE)</f>
        <v>6996241.02</v>
      </c>
      <c r="P179" s="44">
        <f t="shared" si="62"/>
        <v>0.96488254693274</v>
      </c>
      <c r="Q179" s="43">
        <f>VLOOKUP(A179,[1]Sheet12!$A$5:$G$125,3,FALSE)</f>
        <v>30591366.25</v>
      </c>
      <c r="R179" s="43">
        <f>VLOOKUP(A179,[1]NPL!$A$5:$H$119,3,FALSE)</f>
        <v>1821202.23</v>
      </c>
      <c r="S179" s="44">
        <f t="shared" si="63"/>
        <v>0.0595332099624678</v>
      </c>
      <c r="T179" s="43">
        <f>VLOOKUP(A179,[1]PAR!$A$5:$H$120,3,FALSE)</f>
        <v>2385158.12</v>
      </c>
    </row>
    <row r="180" spans="1:20">
      <c r="A180" s="45" t="s">
        <v>191</v>
      </c>
      <c r="B180" s="46">
        <f>SUM(B178:B179)</f>
        <v>13047712.5</v>
      </c>
      <c r="C180" s="46">
        <f t="shared" ref="C180:T180" si="78">SUM(C178:C179)</f>
        <v>8697135.25</v>
      </c>
      <c r="D180" s="47">
        <f t="shared" si="57"/>
        <v>0.666563985832766</v>
      </c>
      <c r="E180" s="46">
        <f t="shared" si="78"/>
        <v>8217449.22</v>
      </c>
      <c r="F180" s="47">
        <f t="shared" si="58"/>
        <v>0.944845513354527</v>
      </c>
      <c r="G180" s="46">
        <f t="shared" si="78"/>
        <v>105519303.18</v>
      </c>
      <c r="H180" s="46">
        <f t="shared" si="78"/>
        <v>4052715.63</v>
      </c>
      <c r="I180" s="47">
        <f t="shared" si="59"/>
        <v>0.0384073388267801</v>
      </c>
      <c r="J180" s="46">
        <f t="shared" si="78"/>
        <v>5776764.21</v>
      </c>
      <c r="K180" s="47">
        <f t="shared" si="60"/>
        <v>0.0547460420596761</v>
      </c>
      <c r="L180" s="46">
        <f t="shared" si="78"/>
        <v>20376430.08</v>
      </c>
      <c r="M180" s="46">
        <f t="shared" si="78"/>
        <v>15804923.87</v>
      </c>
      <c r="N180" s="47">
        <f t="shared" si="61"/>
        <v>0.775647343913934</v>
      </c>
      <c r="O180" s="46">
        <f t="shared" si="78"/>
        <v>15320987.46</v>
      </c>
      <c r="P180" s="47">
        <f t="shared" si="62"/>
        <v>0.96938065542229</v>
      </c>
      <c r="Q180" s="46">
        <f t="shared" si="78"/>
        <v>59388157.25</v>
      </c>
      <c r="R180" s="46">
        <f t="shared" si="78"/>
        <v>3638132.36</v>
      </c>
      <c r="S180" s="47">
        <f t="shared" si="63"/>
        <v>0.0612602331586909</v>
      </c>
      <c r="T180" s="46">
        <f t="shared" si="78"/>
        <v>5708110.54</v>
      </c>
    </row>
    <row r="181" spans="1:20">
      <c r="A181" s="40" t="s">
        <v>192</v>
      </c>
      <c r="B181" s="43">
        <f>VLOOKUP(A181,[1]ticket_pivot!$A$6:$V$127,2,FALSE)</f>
        <v>2158814.48</v>
      </c>
      <c r="C181" s="43">
        <f>VLOOKUP(A181,[1]ticket_pivot!$A$6:$V$127,3,FALSE)</f>
        <v>1741681.86</v>
      </c>
      <c r="D181" s="44">
        <f t="shared" si="57"/>
        <v>0.806776995492452</v>
      </c>
      <c r="E181" s="43">
        <f>VLOOKUP(A181,[1]ticket_pivot!$A$6:$V$127,4,FALSE)</f>
        <v>1740706.37</v>
      </c>
      <c r="F181" s="44">
        <f t="shared" si="58"/>
        <v>0.999439914933718</v>
      </c>
      <c r="G181" s="43">
        <f>VLOOKUP(A181,[1]Sheet12!$A$5:$G$125,2,FALSE)</f>
        <v>26026087.81</v>
      </c>
      <c r="H181" s="43">
        <f>VLOOKUP(A181,[1]NPL!$A$5:$H$119,2,FALSE)</f>
        <v>23200.91</v>
      </c>
      <c r="I181" s="44">
        <f t="shared" si="59"/>
        <v>0.000891448233379337</v>
      </c>
      <c r="J181" s="43">
        <f>VLOOKUP(A181,[1]PAR!$A$5:$H$120,2,FALSE)</f>
        <v>277532.94</v>
      </c>
      <c r="K181" s="44">
        <f t="shared" si="60"/>
        <v>0.0106636441875587</v>
      </c>
      <c r="L181" s="43">
        <f>VLOOKUP(A181,[1]ticket_pivot!$A$6:$V$127,5,FALSE)</f>
        <v>8090651.91</v>
      </c>
      <c r="M181" s="43">
        <f>VLOOKUP(A181,[1]ticket_pivot!$A$6:$V$127,6,FALSE)</f>
        <v>5047823.72</v>
      </c>
      <c r="N181" s="44">
        <f t="shared" si="61"/>
        <v>0.623908156740858</v>
      </c>
      <c r="O181" s="43">
        <f>VLOOKUP(A181,[1]ticket_pivot!$A$6:$V$127,7,FALSE)</f>
        <v>4996598.46</v>
      </c>
      <c r="P181" s="44">
        <f t="shared" si="62"/>
        <v>0.989852010917687</v>
      </c>
      <c r="Q181" s="43">
        <f>VLOOKUP(A181,[1]Sheet12!$A$5:$G$125,3,FALSE)</f>
        <v>6332704.23</v>
      </c>
      <c r="R181" s="43">
        <f>VLOOKUP(A181,[1]NPL!$A$5:$H$119,3,FALSE)</f>
        <v>2645727.88</v>
      </c>
      <c r="S181" s="44">
        <f t="shared" si="63"/>
        <v>0.417788007130723</v>
      </c>
      <c r="T181" s="43">
        <f>VLOOKUP(A181,[1]PAR!$A$5:$H$120,3,FALSE)</f>
        <v>3262152.53</v>
      </c>
    </row>
    <row r="182" spans="1:20">
      <c r="A182" s="40" t="s">
        <v>193</v>
      </c>
      <c r="B182" s="43">
        <f>VLOOKUP(A182,[1]ticket_pivot!$A$6:$V$127,2,FALSE)</f>
        <v>2490867.08</v>
      </c>
      <c r="C182" s="43">
        <f>VLOOKUP(A182,[1]ticket_pivot!$A$6:$V$127,3,FALSE)</f>
        <v>1333959.35</v>
      </c>
      <c r="D182" s="44">
        <f t="shared" si="57"/>
        <v>0.535540158168536</v>
      </c>
      <c r="E182" s="43">
        <f>VLOOKUP(A182,[1]ticket_pivot!$A$6:$V$127,4,FALSE)</f>
        <v>1270909.69</v>
      </c>
      <c r="F182" s="44">
        <f t="shared" si="58"/>
        <v>0.952734946533416</v>
      </c>
      <c r="G182" s="43">
        <f>VLOOKUP(A182,[1]Sheet12!$A$5:$G$125,2,FALSE)</f>
        <v>17507899.21</v>
      </c>
      <c r="H182" s="43">
        <f>VLOOKUP(A182,[1]NPL!$A$5:$H$119,2,FALSE)</f>
        <v>1098669.43</v>
      </c>
      <c r="I182" s="44">
        <f t="shared" si="59"/>
        <v>0.0627527847185956</v>
      </c>
      <c r="J182" s="43">
        <f>VLOOKUP(A182,[1]PAR!$A$5:$H$120,2,FALSE)</f>
        <v>1722779.52</v>
      </c>
      <c r="K182" s="44">
        <f t="shared" si="60"/>
        <v>0.0984001278129359</v>
      </c>
      <c r="L182" s="43">
        <f>VLOOKUP(A182,[1]ticket_pivot!$A$6:$V$127,5,FALSE)</f>
        <v>10242819.26</v>
      </c>
      <c r="M182" s="43">
        <f>VLOOKUP(A182,[1]ticket_pivot!$A$6:$V$127,6,FALSE)</f>
        <v>6849705.07</v>
      </c>
      <c r="N182" s="44">
        <f t="shared" si="61"/>
        <v>0.66873239643594</v>
      </c>
      <c r="O182" s="43">
        <f>VLOOKUP(A182,[1]ticket_pivot!$A$6:$V$127,7,FALSE)</f>
        <v>6825299.26</v>
      </c>
      <c r="P182" s="44">
        <f t="shared" si="62"/>
        <v>0.996436954620588</v>
      </c>
      <c r="Q182" s="43">
        <f>VLOOKUP(A182,[1]Sheet12!$A$5:$G$125,3,FALSE)</f>
        <v>25391659.78</v>
      </c>
      <c r="R182" s="43">
        <f>VLOOKUP(A182,[1]NPL!$A$5:$H$119,3,FALSE)</f>
        <v>2522595.39</v>
      </c>
      <c r="S182" s="44">
        <f t="shared" si="63"/>
        <v>0.0993474003612378</v>
      </c>
      <c r="T182" s="43">
        <f>VLOOKUP(A182,[1]PAR!$A$5:$H$120,3,FALSE)</f>
        <v>4731340.93</v>
      </c>
    </row>
    <row r="183" spans="1:20">
      <c r="A183" s="45" t="s">
        <v>194</v>
      </c>
      <c r="B183" s="46">
        <f>SUM(B181:B182)</f>
        <v>4649681.56</v>
      </c>
      <c r="C183" s="46">
        <f t="shared" ref="C183:T183" si="79">SUM(C181:C182)</f>
        <v>3075641.21</v>
      </c>
      <c r="D183" s="47">
        <f t="shared" si="57"/>
        <v>0.661473516048699</v>
      </c>
      <c r="E183" s="46">
        <f t="shared" si="79"/>
        <v>3011616.06</v>
      </c>
      <c r="F183" s="47">
        <f t="shared" si="58"/>
        <v>0.979183153811364</v>
      </c>
      <c r="G183" s="46">
        <f t="shared" si="79"/>
        <v>43533987.02</v>
      </c>
      <c r="H183" s="46">
        <f t="shared" si="79"/>
        <v>1121870.34</v>
      </c>
      <c r="I183" s="47">
        <f t="shared" si="59"/>
        <v>0.0257699883882586</v>
      </c>
      <c r="J183" s="46">
        <f t="shared" si="79"/>
        <v>2000312.46</v>
      </c>
      <c r="K183" s="47">
        <f t="shared" si="60"/>
        <v>0.0459482945837475</v>
      </c>
      <c r="L183" s="46">
        <f t="shared" si="79"/>
        <v>18333471.17</v>
      </c>
      <c r="M183" s="46">
        <f t="shared" si="79"/>
        <v>11897528.79</v>
      </c>
      <c r="N183" s="47">
        <f t="shared" si="61"/>
        <v>0.648951236766802</v>
      </c>
      <c r="O183" s="46">
        <f t="shared" si="79"/>
        <v>11821897.72</v>
      </c>
      <c r="P183" s="47">
        <f t="shared" si="62"/>
        <v>0.993643127801164</v>
      </c>
      <c r="Q183" s="46">
        <f t="shared" si="79"/>
        <v>31724364.01</v>
      </c>
      <c r="R183" s="46">
        <f t="shared" si="79"/>
        <v>5168323.27</v>
      </c>
      <c r="S183" s="47">
        <f t="shared" si="63"/>
        <v>0.162913376872453</v>
      </c>
      <c r="T183" s="46">
        <f t="shared" si="79"/>
        <v>7993493.46</v>
      </c>
    </row>
    <row r="184" spans="1:20">
      <c r="A184" s="48" t="s">
        <v>195</v>
      </c>
      <c r="B184" s="49">
        <f>SUM(B183,B180,B177)</f>
        <v>24926851.76</v>
      </c>
      <c r="C184" s="49">
        <f t="shared" ref="C184:T184" si="80">SUM(C183,C180,C177)</f>
        <v>17450263.57</v>
      </c>
      <c r="D184" s="50">
        <f t="shared" si="57"/>
        <v>0.700058865757061</v>
      </c>
      <c r="E184" s="49">
        <f t="shared" si="80"/>
        <v>16863563.16</v>
      </c>
      <c r="F184" s="50">
        <f t="shared" si="58"/>
        <v>0.966378707826016</v>
      </c>
      <c r="G184" s="49">
        <f t="shared" si="80"/>
        <v>206214564.09</v>
      </c>
      <c r="H184" s="49">
        <f t="shared" si="80"/>
        <v>6277484.69</v>
      </c>
      <c r="I184" s="50">
        <f t="shared" si="59"/>
        <v>0.0304415195779298</v>
      </c>
      <c r="J184" s="49">
        <f t="shared" si="80"/>
        <v>9541933.66</v>
      </c>
      <c r="K184" s="50">
        <f t="shared" si="60"/>
        <v>0.0462718707677481</v>
      </c>
      <c r="L184" s="49">
        <f t="shared" si="80"/>
        <v>61070182.18</v>
      </c>
      <c r="M184" s="49">
        <f t="shared" si="80"/>
        <v>46004240.21</v>
      </c>
      <c r="N184" s="50">
        <f t="shared" si="61"/>
        <v>0.753301178542513</v>
      </c>
      <c r="O184" s="49">
        <f t="shared" si="80"/>
        <v>45281035.28</v>
      </c>
      <c r="P184" s="50">
        <f t="shared" si="62"/>
        <v>0.984279602777946</v>
      </c>
      <c r="Q184" s="49">
        <f t="shared" si="80"/>
        <v>185641528.38</v>
      </c>
      <c r="R184" s="49">
        <f t="shared" si="80"/>
        <v>11027137.95</v>
      </c>
      <c r="S184" s="50">
        <f t="shared" si="63"/>
        <v>0.0594001678731492</v>
      </c>
      <c r="T184" s="49">
        <f t="shared" si="80"/>
        <v>16816002.1</v>
      </c>
    </row>
    <row r="185" spans="1:20">
      <c r="A185" s="51" t="s">
        <v>196</v>
      </c>
      <c r="B185" s="52">
        <f>SUM(B184,B173)</f>
        <v>42697241.95</v>
      </c>
      <c r="C185" s="52">
        <f t="shared" ref="C185:T185" si="81">SUM(C184,C173)</f>
        <v>30810826.98</v>
      </c>
      <c r="D185" s="53">
        <f t="shared" si="57"/>
        <v>0.721611644519817</v>
      </c>
      <c r="E185" s="52">
        <f t="shared" si="81"/>
        <v>29928533.93</v>
      </c>
      <c r="F185" s="53">
        <f t="shared" si="58"/>
        <v>0.971364187966369</v>
      </c>
      <c r="G185" s="52">
        <f t="shared" si="81"/>
        <v>364031511.5</v>
      </c>
      <c r="H185" s="52">
        <f t="shared" si="81"/>
        <v>8349239.16</v>
      </c>
      <c r="I185" s="53">
        <f t="shared" si="59"/>
        <v>0.0229354846936101</v>
      </c>
      <c r="J185" s="52">
        <f t="shared" si="81"/>
        <v>14604853.59</v>
      </c>
      <c r="K185" s="53">
        <f t="shared" si="60"/>
        <v>0.040119750979305</v>
      </c>
      <c r="L185" s="52">
        <f t="shared" si="81"/>
        <v>135190615.23</v>
      </c>
      <c r="M185" s="52">
        <f t="shared" si="81"/>
        <v>98366125.15</v>
      </c>
      <c r="N185" s="53">
        <f t="shared" si="61"/>
        <v>0.727610603610684</v>
      </c>
      <c r="O185" s="52">
        <f t="shared" si="81"/>
        <v>96644765.01</v>
      </c>
      <c r="P185" s="53">
        <f t="shared" si="62"/>
        <v>0.982500478316341</v>
      </c>
      <c r="Q185" s="52">
        <f t="shared" si="81"/>
        <v>510154469.79</v>
      </c>
      <c r="R185" s="52">
        <f t="shared" si="81"/>
        <v>29099768.93</v>
      </c>
      <c r="S185" s="53">
        <f t="shared" si="63"/>
        <v>0.0570410937337835</v>
      </c>
      <c r="T185" s="52">
        <f t="shared" si="81"/>
        <v>51199523.84</v>
      </c>
    </row>
    <row r="186" spans="1:20">
      <c r="A186" s="54" t="s">
        <v>197</v>
      </c>
      <c r="B186" s="55">
        <f>SUM(B185,B162,B114,B77,B50)</f>
        <v>363400229.26</v>
      </c>
      <c r="C186" s="55">
        <f>SUM(C185,C162,C114,C77,C50)</f>
        <v>247559021.77</v>
      </c>
      <c r="D186" s="56">
        <f t="shared" si="57"/>
        <v>0.681229679667814</v>
      </c>
      <c r="E186" s="55">
        <f t="shared" ref="E186:T186" si="82">SUM(E185,E162,E114,E77,E50)</f>
        <v>241679394.71</v>
      </c>
      <c r="F186" s="56">
        <f t="shared" si="58"/>
        <v>0.976249594872521</v>
      </c>
      <c r="G186" s="55">
        <f>SUM(G185,G162,G114,G77,G50)</f>
        <v>2991597627.28</v>
      </c>
      <c r="H186" s="55">
        <f t="shared" si="82"/>
        <v>79190314.97</v>
      </c>
      <c r="I186" s="56">
        <f t="shared" si="59"/>
        <v>0.0264709111438897</v>
      </c>
      <c r="J186" s="55">
        <f t="shared" si="82"/>
        <v>133349420.97</v>
      </c>
      <c r="K186" s="56">
        <f t="shared" si="60"/>
        <v>0.0445746512679391</v>
      </c>
      <c r="L186" s="55">
        <f t="shared" si="82"/>
        <v>1694790392.85</v>
      </c>
      <c r="M186" s="55">
        <f t="shared" si="82"/>
        <v>1226829484.22</v>
      </c>
      <c r="N186" s="56">
        <f t="shared" si="61"/>
        <v>0.723882722840395</v>
      </c>
      <c r="O186" s="55">
        <f t="shared" si="82"/>
        <v>1192659072.69</v>
      </c>
      <c r="P186" s="56">
        <f t="shared" si="62"/>
        <v>0.972147383177928</v>
      </c>
      <c r="Q186" s="55">
        <f t="shared" si="82"/>
        <v>5222211881.4</v>
      </c>
      <c r="R186" s="55">
        <f t="shared" si="82"/>
        <v>325137003.93</v>
      </c>
      <c r="S186" s="56">
        <f t="shared" si="63"/>
        <v>0.0622604006336938</v>
      </c>
      <c r="T186" s="55">
        <f t="shared" si="82"/>
        <v>588727480.22</v>
      </c>
    </row>
  </sheetData>
  <mergeCells count="2">
    <mergeCell ref="B1:J1"/>
    <mergeCell ref="L1:T1"/>
  </mergeCells>
  <conditionalFormatting sqref="D3:D185">
    <cfRule type="cellIs" dxfId="0" priority="7" operator="lessThan">
      <formula>0.681</formula>
    </cfRule>
  </conditionalFormatting>
  <conditionalFormatting sqref="F3:F185">
    <cfRule type="cellIs" dxfId="0" priority="6" operator="lessThan">
      <formula>0.976</formula>
    </cfRule>
  </conditionalFormatting>
  <conditionalFormatting sqref="I3:I185">
    <cfRule type="cellIs" dxfId="0" priority="5" operator="greaterThan">
      <formula>0.026</formula>
    </cfRule>
  </conditionalFormatting>
  <conditionalFormatting sqref="K3:K185">
    <cfRule type="cellIs" dxfId="0" priority="4" operator="greaterThan">
      <formula>0.045</formula>
    </cfRule>
  </conditionalFormatting>
  <conditionalFormatting sqref="N3:N185">
    <cfRule type="cellIs" dxfId="0" priority="3" operator="lessThan">
      <formula>0.724</formula>
    </cfRule>
  </conditionalFormatting>
  <conditionalFormatting sqref="P3:P185">
    <cfRule type="cellIs" dxfId="0" priority="2" operator="lessThan">
      <formula>0.972</formula>
    </cfRule>
  </conditionalFormatting>
  <conditionalFormatting sqref="S3:S185">
    <cfRule type="cellIs" dxfId="0" priority="1" operator="greaterThan">
      <formula>0.062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6"/>
  <sheetViews>
    <sheetView workbookViewId="0">
      <selection activeCell="C12" sqref="C12"/>
    </sheetView>
  </sheetViews>
  <sheetFormatPr defaultColWidth="9" defaultRowHeight="14.4"/>
  <cols>
    <col min="1" max="1" width="18.3611111111111" customWidth="1"/>
    <col min="2" max="3" width="11.4537037037037" customWidth="1"/>
    <col min="5" max="5" width="11.4537037037037" customWidth="1"/>
    <col min="7" max="7" width="12.2685185185185" customWidth="1"/>
    <col min="10" max="10" width="11" customWidth="1"/>
  </cols>
  <sheetData>
    <row r="1" spans="1:11">
      <c r="B1" s="35" t="s">
        <v>198</v>
      </c>
      <c r="C1" s="35"/>
      <c r="D1" s="35"/>
      <c r="E1" s="35"/>
      <c r="F1" s="35"/>
      <c r="G1" s="35"/>
      <c r="H1" s="35"/>
      <c r="I1" s="35"/>
      <c r="J1" s="35"/>
      <c r="K1" s="35"/>
    </row>
    <row r="2" spans="1:11">
      <c r="A2" s="36" t="s">
        <v>2</v>
      </c>
      <c r="B2" s="37" t="s">
        <v>3</v>
      </c>
      <c r="C2" s="37" t="s">
        <v>4</v>
      </c>
      <c r="D2" s="38" t="s">
        <v>5</v>
      </c>
      <c r="E2" s="37" t="s">
        <v>6</v>
      </c>
      <c r="F2" s="38" t="s">
        <v>7</v>
      </c>
      <c r="G2" s="39" t="s">
        <v>8</v>
      </c>
      <c r="H2" s="37" t="s">
        <v>9</v>
      </c>
      <c r="I2" s="38" t="s">
        <v>10</v>
      </c>
      <c r="J2" s="37" t="s">
        <v>11</v>
      </c>
      <c r="K2" s="38" t="s">
        <v>12</v>
      </c>
    </row>
    <row r="3" spans="1:11">
      <c r="A3" s="40" t="s">
        <v>14</v>
      </c>
      <c r="B3" s="41">
        <f>VLOOKUP(A3,[2]ticket_pivot!$A$6:$V$127,2,FALSE)</f>
        <v>18554968.26</v>
      </c>
      <c r="C3" s="41">
        <f>VLOOKUP(A3,[2]ticket_pivot!$A$6:$V$127,3,FALSE)</f>
        <v>10124187.95</v>
      </c>
      <c r="D3" s="42">
        <f t="shared" ref="D3:D59" si="0">IFERROR(C3/B3,"")</f>
        <v>0.545632189079261</v>
      </c>
      <c r="E3" s="41">
        <f>VLOOKUP(A3,[2]ticket_pivot!$A$6:$V$127,4,FALSE)</f>
        <v>10003180.86</v>
      </c>
      <c r="F3" s="42">
        <f t="shared" ref="F3:F59" si="1">IFERROR(E3/C3,"")</f>
        <v>0.988047723867078</v>
      </c>
      <c r="G3" s="41">
        <f>VLOOKUP(A3,[2]Sheet12!$A$5:$G$125,2,FALSE)</f>
        <v>155417824.53</v>
      </c>
      <c r="H3" s="41" t="str">
        <f>IFERROR(VLOOKUP(A3,[2]NPL!$A$4:$H$119,2,FALSE),"")</f>
        <v/>
      </c>
      <c r="I3" s="42" t="str">
        <f t="shared" ref="I3:I66" si="2">IFERROR(H3/G3,"")</f>
        <v/>
      </c>
      <c r="J3" s="41">
        <f>VLOOKUP(A3,[2]PAR!$A$5:$H$120,2,FALSE)</f>
        <v>2364944.8</v>
      </c>
      <c r="K3" s="42">
        <f t="shared" ref="K3:K66" si="3">IFERROR(J3/G3,"")</f>
        <v>0.0152166896374457</v>
      </c>
    </row>
    <row r="4" spans="1:11">
      <c r="A4" s="40" t="s">
        <v>15</v>
      </c>
      <c r="B4" s="43">
        <f>VLOOKUP(A4,[2]ticket_pivot!$A$6:$V$127,2,FALSE)</f>
        <v>9783047.67</v>
      </c>
      <c r="C4" s="43">
        <f>VLOOKUP(A4,[2]ticket_pivot!$A$6:$V$127,3,FALSE)</f>
        <v>6113427.73</v>
      </c>
      <c r="D4" s="44">
        <f t="shared" si="0"/>
        <v>0.624900126853823</v>
      </c>
      <c r="E4" s="43">
        <f>VLOOKUP(A4,[2]ticket_pivot!$A$6:$V$127,4,FALSE)</f>
        <v>6017423.43</v>
      </c>
      <c r="F4" s="44">
        <f t="shared" si="1"/>
        <v>0.984296158515315</v>
      </c>
      <c r="G4" s="43">
        <f>VLOOKUP(A4,[2]Sheet12!$A$5:$G$125,2,FALSE)</f>
        <v>131198050.43</v>
      </c>
      <c r="H4" s="43" t="str">
        <f>IFERROR(VLOOKUP(A4,[2]NPL!$A$5:$H$119,2,FALSE),"")</f>
        <v/>
      </c>
      <c r="I4" s="44" t="str">
        <f t="shared" si="2"/>
        <v/>
      </c>
      <c r="J4" s="43"/>
      <c r="K4" s="44">
        <f t="shared" si="3"/>
        <v>0</v>
      </c>
    </row>
    <row r="5" spans="1:11">
      <c r="A5" s="45" t="s">
        <v>16</v>
      </c>
      <c r="B5" s="46">
        <f>SUM(B3:B4)</f>
        <v>28338015.93</v>
      </c>
      <c r="C5" s="46">
        <f>SUM(C3:C4)</f>
        <v>16237615.68</v>
      </c>
      <c r="D5" s="47">
        <f t="shared" si="0"/>
        <v>0.572997619879594</v>
      </c>
      <c r="E5" s="46">
        <f>SUM(E3:E4)</f>
        <v>16020604.29</v>
      </c>
      <c r="F5" s="47">
        <f t="shared" si="1"/>
        <v>0.986635267500062</v>
      </c>
      <c r="G5" s="46">
        <f>SUM(G3:G4)</f>
        <v>286615874.96</v>
      </c>
      <c r="H5" s="46">
        <f>SUM(H3:H4)</f>
        <v>0</v>
      </c>
      <c r="I5" s="47">
        <f t="shared" si="2"/>
        <v>0</v>
      </c>
      <c r="J5" s="46">
        <f>SUM(J3:J4)</f>
        <v>2364944.8</v>
      </c>
      <c r="K5" s="47">
        <f t="shared" si="3"/>
        <v>0.00825126940484385</v>
      </c>
    </row>
    <row r="6" spans="1:11">
      <c r="A6" s="40" t="s">
        <v>17</v>
      </c>
      <c r="B6" s="43">
        <f>VLOOKUP(A6,[2]ticket_pivot!$A$6:$V$127,2,FALSE)</f>
        <v>9903095.25</v>
      </c>
      <c r="C6" s="43">
        <f>VLOOKUP(A6,[2]ticket_pivot!$A$6:$V$127,3,FALSE)</f>
        <v>9550463.57</v>
      </c>
      <c r="D6" s="44">
        <f t="shared" si="0"/>
        <v>0.964391771350477</v>
      </c>
      <c r="E6" s="43">
        <f>VLOOKUP(A6,[2]ticket_pivot!$A$6:$V$127,4,FALSE)</f>
        <v>8209262.2</v>
      </c>
      <c r="F6" s="44">
        <f t="shared" si="1"/>
        <v>0.859566882783261</v>
      </c>
      <c r="G6" s="43">
        <f>VLOOKUP(A6,[2]Sheet12!$A$5:$G$125,2,FALSE)</f>
        <v>189901499.38</v>
      </c>
      <c r="H6" s="43" t="str">
        <f>IFERROR(VLOOKUP(A6,[2]NPL!$A$5:$H$119,2,FALSE),"")</f>
        <v/>
      </c>
      <c r="I6" s="44" t="str">
        <f t="shared" si="2"/>
        <v/>
      </c>
      <c r="J6" s="43">
        <f>VLOOKUP(A6,[2]PAR!$A$5:$H$120,2,FALSE)</f>
        <v>847652</v>
      </c>
      <c r="K6" s="44">
        <f t="shared" si="3"/>
        <v>0.00446364037549707</v>
      </c>
    </row>
    <row r="7" spans="1:11">
      <c r="A7" s="40" t="s">
        <v>18</v>
      </c>
      <c r="B7" s="41">
        <f>VLOOKUP(A7,[2]ticket_pivot!$A$6:$V$127,2,FALSE)</f>
        <v>8755906</v>
      </c>
      <c r="C7" s="41">
        <f>VLOOKUP(A7,[2]ticket_pivot!$A$6:$V$127,3,FALSE)</f>
        <v>8394281.58</v>
      </c>
      <c r="D7" s="42">
        <f t="shared" si="0"/>
        <v>0.958699371601294</v>
      </c>
      <c r="E7" s="41">
        <f>VLOOKUP(A7,[2]ticket_pivot!$A$6:$V$127,4,FALSE)</f>
        <v>8338238.82</v>
      </c>
      <c r="F7" s="42">
        <f t="shared" si="1"/>
        <v>0.993323697869092</v>
      </c>
      <c r="G7" s="41">
        <f>VLOOKUP(A7,[2]Sheet12!$A$5:$G$125,2,FALSE)</f>
        <v>154958967.89</v>
      </c>
      <c r="H7" s="41"/>
      <c r="I7" s="42">
        <f t="shared" si="2"/>
        <v>0</v>
      </c>
      <c r="J7" s="41">
        <f>VLOOKUP(A7,[2]PAR!$A$5:$H$120,2,FALSE)</f>
        <v>909654.32</v>
      </c>
      <c r="K7" s="42">
        <f t="shared" si="3"/>
        <v>0.0058702915512817</v>
      </c>
    </row>
    <row r="8" spans="1:11">
      <c r="A8" s="45" t="s">
        <v>19</v>
      </c>
      <c r="B8" s="46">
        <f>SUM(B6:B7)</f>
        <v>18659001.25</v>
      </c>
      <c r="C8" s="46">
        <f>SUM(C6:C7)</f>
        <v>17944745.15</v>
      </c>
      <c r="D8" s="47">
        <f t="shared" si="0"/>
        <v>0.961720561008055</v>
      </c>
      <c r="E8" s="46">
        <f>SUM(E6:E7)</f>
        <v>16547501.02</v>
      </c>
      <c r="F8" s="47">
        <f t="shared" si="1"/>
        <v>0.922136306850811</v>
      </c>
      <c r="G8" s="46">
        <f>SUM(G6:G7)</f>
        <v>344860467.27</v>
      </c>
      <c r="H8" s="46"/>
      <c r="I8" s="47">
        <f t="shared" si="2"/>
        <v>0</v>
      </c>
      <c r="J8" s="46">
        <f>SUM(J6:J7)</f>
        <v>1757306.32</v>
      </c>
      <c r="K8" s="47">
        <f t="shared" si="3"/>
        <v>0.00509570242687214</v>
      </c>
    </row>
    <row r="9" spans="1:11">
      <c r="A9" s="40" t="s">
        <v>20</v>
      </c>
      <c r="B9" s="43">
        <f>VLOOKUP(A9,[2]ticket_pivot!$A$6:$V$127,2,FALSE)</f>
        <v>6593385.47</v>
      </c>
      <c r="C9" s="43">
        <f>VLOOKUP(A9,[2]ticket_pivot!$A$6:$V$127,3,FALSE)</f>
        <v>4837610.24</v>
      </c>
      <c r="D9" s="44">
        <f t="shared" si="0"/>
        <v>0.733706570321301</v>
      </c>
      <c r="E9" s="43">
        <f>VLOOKUP(A9,[2]ticket_pivot!$A$6:$V$127,4,FALSE)</f>
        <v>4761570.27</v>
      </c>
      <c r="F9" s="44">
        <f t="shared" si="1"/>
        <v>0.984281501355512</v>
      </c>
      <c r="G9" s="43">
        <f>VLOOKUP(A9,[2]Sheet12!$A$5:$G$125,2,FALSE)</f>
        <v>78811240.45</v>
      </c>
      <c r="H9" s="43"/>
      <c r="I9" s="44">
        <f t="shared" si="2"/>
        <v>0</v>
      </c>
      <c r="J9" s="43">
        <f>VLOOKUP(A9,[2]PAR!$A$5:$H$120,2,FALSE)</f>
        <v>1701747.29</v>
      </c>
      <c r="K9" s="44">
        <f t="shared" si="3"/>
        <v>0.021592697694939</v>
      </c>
    </row>
    <row r="10" spans="1:11">
      <c r="A10" s="40" t="s">
        <v>21</v>
      </c>
      <c r="B10" s="43">
        <f>VLOOKUP(A10,[2]ticket_pivot!$A$6:$V$127,2,FALSE)</f>
        <v>19464762.37</v>
      </c>
      <c r="C10" s="43">
        <f>VLOOKUP(A10,[2]ticket_pivot!$A$6:$V$127,3,FALSE)</f>
        <v>11558700.58</v>
      </c>
      <c r="D10" s="44">
        <f t="shared" si="0"/>
        <v>0.593826955617748</v>
      </c>
      <c r="E10" s="43">
        <f>VLOOKUP(A10,[2]ticket_pivot!$A$6:$V$127,4,FALSE)</f>
        <v>11474189.93</v>
      </c>
      <c r="F10" s="44">
        <f t="shared" si="1"/>
        <v>0.992688568285416</v>
      </c>
      <c r="G10" s="43">
        <f>VLOOKUP(A10,[2]Sheet12!$A$5:$G$125,2,FALSE)</f>
        <v>156043398.1</v>
      </c>
      <c r="H10" s="43"/>
      <c r="I10" s="44">
        <f t="shared" si="2"/>
        <v>0</v>
      </c>
      <c r="J10" s="43"/>
      <c r="K10" s="44">
        <f t="shared" si="3"/>
        <v>0</v>
      </c>
    </row>
    <row r="11" spans="1:11">
      <c r="A11" s="40" t="s">
        <v>22</v>
      </c>
      <c r="B11" s="43">
        <f>VLOOKUP(A11,[2]ticket_pivot!$A$6:$V$127,2,FALSE)</f>
        <v>9414048.63</v>
      </c>
      <c r="C11" s="43">
        <f>VLOOKUP(A11,[2]ticket_pivot!$A$6:$V$127,3,FALSE)</f>
        <v>9429382.41</v>
      </c>
      <c r="D11" s="44">
        <f t="shared" si="0"/>
        <v>1.00162881886451</v>
      </c>
      <c r="E11" s="43">
        <f>VLOOKUP(A11,[2]ticket_pivot!$A$6:$V$127,4,FALSE)</f>
        <v>9414048.63</v>
      </c>
      <c r="F11" s="44">
        <f t="shared" si="1"/>
        <v>0.998373829872067</v>
      </c>
      <c r="G11" s="43">
        <f>VLOOKUP(A11,[2]Sheet12!$A$5:$G$125,2,FALSE)</f>
        <v>157443463.33</v>
      </c>
      <c r="H11" s="43"/>
      <c r="I11" s="44">
        <f t="shared" si="2"/>
        <v>0</v>
      </c>
      <c r="J11" s="43"/>
      <c r="K11" s="44">
        <f t="shared" si="3"/>
        <v>0</v>
      </c>
    </row>
    <row r="12" spans="1:11">
      <c r="A12" s="45" t="s">
        <v>23</v>
      </c>
      <c r="B12" s="46">
        <f>SUM(B9:B11)</f>
        <v>35472196.47</v>
      </c>
      <c r="C12" s="46">
        <f>SUM(C9:C11)</f>
        <v>25825693.23</v>
      </c>
      <c r="D12" s="47">
        <f t="shared" si="0"/>
        <v>0.728054527208137</v>
      </c>
      <c r="E12" s="46">
        <f>SUM(E9:E11)</f>
        <v>25649808.83</v>
      </c>
      <c r="F12" s="47">
        <f t="shared" si="1"/>
        <v>0.993189557452201</v>
      </c>
      <c r="G12" s="46">
        <f>SUM(G9:G11)</f>
        <v>392298101.88</v>
      </c>
      <c r="H12" s="46"/>
      <c r="I12" s="47">
        <f t="shared" si="2"/>
        <v>0</v>
      </c>
      <c r="J12" s="46">
        <f>SUM(J9:J11)</f>
        <v>1701747.29</v>
      </c>
      <c r="K12" s="47">
        <f t="shared" si="3"/>
        <v>0.00433789325475897</v>
      </c>
    </row>
    <row r="13" spans="1:11">
      <c r="A13" s="48" t="s">
        <v>24</v>
      </c>
      <c r="B13" s="49">
        <f>SUM(B12,B8,B5)</f>
        <v>82469213.65</v>
      </c>
      <c r="C13" s="49">
        <f>SUM(C12,C8,C5)</f>
        <v>60008054.06</v>
      </c>
      <c r="D13" s="50">
        <f t="shared" si="0"/>
        <v>0.7276418848211</v>
      </c>
      <c r="E13" s="49">
        <f>SUM(E12,E8,E5)</f>
        <v>58217914.14</v>
      </c>
      <c r="F13" s="50">
        <f t="shared" si="1"/>
        <v>0.97016833909978</v>
      </c>
      <c r="G13" s="49">
        <f>SUM(G12,G8,G5)</f>
        <v>1023774444.11</v>
      </c>
      <c r="H13" s="49"/>
      <c r="I13" s="50">
        <f t="shared" si="2"/>
        <v>0</v>
      </c>
      <c r="J13" s="49">
        <f>SUM(J12,J8,J5)</f>
        <v>5823998.41</v>
      </c>
      <c r="K13" s="50">
        <f t="shared" si="3"/>
        <v>0.00568875150528199</v>
      </c>
    </row>
    <row r="14" spans="1:11">
      <c r="A14" s="40" t="s">
        <v>25</v>
      </c>
      <c r="B14" s="43">
        <f>VLOOKUP(A14,[2]ticket_pivot!$A$6:$V$127,2,FALSE)</f>
        <v>5640782.82</v>
      </c>
      <c r="C14" s="43">
        <f>VLOOKUP(A14,[2]ticket_pivot!$A$6:$V$127,3,FALSE)</f>
        <v>5903182.47</v>
      </c>
      <c r="D14" s="44">
        <f t="shared" si="0"/>
        <v>1.04651830399668</v>
      </c>
      <c r="E14" s="43">
        <f>VLOOKUP(A14,[2]ticket_pivot!$A$6:$V$127,4,FALSE)</f>
        <v>5442809.08</v>
      </c>
      <c r="F14" s="44">
        <f t="shared" si="1"/>
        <v>0.922012678357882</v>
      </c>
      <c r="G14" s="43">
        <f>VLOOKUP(A14,[2]Sheet12!$A$5:$G$125,2,FALSE)</f>
        <v>87055034.14</v>
      </c>
      <c r="H14" s="43"/>
      <c r="I14" s="44">
        <f t="shared" si="2"/>
        <v>0</v>
      </c>
      <c r="J14" s="43">
        <f>VLOOKUP(A14,[2]PAR!$A$5:$H$120,2,FALSE)</f>
        <v>1300374.72</v>
      </c>
      <c r="K14" s="44">
        <f t="shared" si="3"/>
        <v>0.0149373868248534</v>
      </c>
    </row>
    <row r="15" spans="1:11">
      <c r="A15" s="40" t="s">
        <v>26</v>
      </c>
      <c r="B15" s="43">
        <f>VLOOKUP(A15,[2]ticket_pivot!$A$6:$V$127,2,FALSE)</f>
        <v>12797645.97</v>
      </c>
      <c r="C15" s="43">
        <f>VLOOKUP(A15,[2]ticket_pivot!$A$6:$V$127,3,FALSE)</f>
        <v>10380049.09</v>
      </c>
      <c r="D15" s="44">
        <f t="shared" si="0"/>
        <v>0.811090501669816</v>
      </c>
      <c r="E15" s="43">
        <f>VLOOKUP(A15,[2]ticket_pivot!$A$6:$V$127,4,FALSE)</f>
        <v>10370874.03</v>
      </c>
      <c r="F15" s="44">
        <f t="shared" si="1"/>
        <v>0.999116087031916</v>
      </c>
      <c r="G15" s="43">
        <f>VLOOKUP(A15,[2]Sheet12!$A$5:$G$125,2,FALSE)</f>
        <v>113605953.15</v>
      </c>
      <c r="H15" s="43"/>
      <c r="I15" s="44">
        <f t="shared" si="2"/>
        <v>0</v>
      </c>
      <c r="J15" s="43"/>
      <c r="K15" s="44">
        <f t="shared" si="3"/>
        <v>0</v>
      </c>
    </row>
    <row r="16" spans="1:11">
      <c r="A16" s="40" t="s">
        <v>27</v>
      </c>
      <c r="B16" s="43">
        <f>VLOOKUP(A16,[2]ticket_pivot!$A$6:$V$127,2,FALSE)</f>
        <v>25224951.44</v>
      </c>
      <c r="C16" s="43">
        <f>VLOOKUP(A16,[2]ticket_pivot!$A$6:$V$127,3,FALSE)</f>
        <v>13806909.64</v>
      </c>
      <c r="D16" s="44">
        <f t="shared" si="0"/>
        <v>0.547351287190427</v>
      </c>
      <c r="E16" s="43">
        <f>VLOOKUP(A16,[2]ticket_pivot!$A$6:$V$127,4,FALSE)</f>
        <v>13655770.66</v>
      </c>
      <c r="F16" s="44">
        <f t="shared" si="1"/>
        <v>0.98905338095629</v>
      </c>
      <c r="G16" s="43">
        <f>VLOOKUP(A16,[2]Sheet12!$A$5:$G$125,2,FALSE)</f>
        <v>146409432.89</v>
      </c>
      <c r="H16" s="43"/>
      <c r="I16" s="44">
        <f t="shared" si="2"/>
        <v>0</v>
      </c>
      <c r="J16" s="43">
        <f>VLOOKUP(A16,[2]PAR!$A$5:$H$120,2,FALSE)</f>
        <v>873043.67</v>
      </c>
      <c r="K16" s="44">
        <f t="shared" si="3"/>
        <v>0.00596302883473316</v>
      </c>
    </row>
    <row r="17" spans="1:11">
      <c r="A17" s="40" t="s">
        <v>28</v>
      </c>
      <c r="B17" s="43">
        <f>VLOOKUP(A17,[2]ticket_pivot!$A$6:$V$127,2,FALSE)</f>
        <v>20683377.61</v>
      </c>
      <c r="C17" s="43">
        <f>VLOOKUP(A17,[2]ticket_pivot!$A$6:$V$127,3,FALSE)</f>
        <v>11103354.88</v>
      </c>
      <c r="D17" s="44">
        <f t="shared" si="0"/>
        <v>0.536825033578256</v>
      </c>
      <c r="E17" s="43">
        <f>VLOOKUP(A17,[2]ticket_pivot!$A$6:$V$127,4,FALSE)</f>
        <v>11097658.01</v>
      </c>
      <c r="F17" s="44">
        <f t="shared" si="1"/>
        <v>0.999486923541437</v>
      </c>
      <c r="G17" s="43">
        <f>VLOOKUP(A17,[2]Sheet12!$A$5:$G$125,2,FALSE)</f>
        <v>75857193.82</v>
      </c>
      <c r="H17" s="43"/>
      <c r="I17" s="44">
        <f t="shared" si="2"/>
        <v>0</v>
      </c>
      <c r="J17" s="43"/>
      <c r="K17" s="44">
        <f t="shared" si="3"/>
        <v>0</v>
      </c>
    </row>
    <row r="18" spans="1:11">
      <c r="A18" s="45" t="s">
        <v>29</v>
      </c>
      <c r="B18" s="46">
        <f>SUM(B14:B17)</f>
        <v>64346757.84</v>
      </c>
      <c r="C18" s="46">
        <f>SUM(C14:C17)</f>
        <v>41193496.08</v>
      </c>
      <c r="D18" s="47">
        <f t="shared" si="0"/>
        <v>0.640179823549599</v>
      </c>
      <c r="E18" s="46">
        <f>SUM(E14:E17)</f>
        <v>40567111.78</v>
      </c>
      <c r="F18" s="47">
        <f t="shared" si="1"/>
        <v>0.984794097136511</v>
      </c>
      <c r="G18" s="46">
        <f>SUM(G14:G17)</f>
        <v>422927614</v>
      </c>
      <c r="H18" s="46"/>
      <c r="I18" s="47">
        <f t="shared" si="2"/>
        <v>0</v>
      </c>
      <c r="J18" s="46">
        <f>SUM(J14:J17)</f>
        <v>2173418.39</v>
      </c>
      <c r="K18" s="47">
        <f t="shared" si="3"/>
        <v>0.00513898435111404</v>
      </c>
    </row>
    <row r="19" spans="1:11">
      <c r="A19" s="40" t="s">
        <v>30</v>
      </c>
      <c r="B19" s="41">
        <f>VLOOKUP(A19,[2]ticket_pivot!$A$6:$V$127,2,FALSE)</f>
        <v>12307518.19</v>
      </c>
      <c r="C19" s="41">
        <f>VLOOKUP(A19,[2]ticket_pivot!$A$6:$V$127,3,FALSE)</f>
        <v>12244740.13</v>
      </c>
      <c r="D19" s="42">
        <f t="shared" si="0"/>
        <v>0.994899210463811</v>
      </c>
      <c r="E19" s="41">
        <f>VLOOKUP(A19,[2]ticket_pivot!$A$6:$V$127,4,FALSE)</f>
        <v>12183699.16</v>
      </c>
      <c r="F19" s="42">
        <f t="shared" si="1"/>
        <v>0.995014923195435</v>
      </c>
      <c r="G19" s="41">
        <f>VLOOKUP(A19,[2]Sheet12!$A$5:$G$125,2,FALSE)</f>
        <v>170675582.37</v>
      </c>
      <c r="H19" s="41"/>
      <c r="I19" s="42">
        <f t="shared" si="2"/>
        <v>0</v>
      </c>
      <c r="J19" s="41">
        <f>VLOOKUP(A19,[2]PAR!$A$5:$H$120,2,FALSE)</f>
        <v>644738</v>
      </c>
      <c r="K19" s="42">
        <f t="shared" si="3"/>
        <v>0.00377756437708999</v>
      </c>
    </row>
    <row r="20" spans="1:11">
      <c r="A20" s="40" t="s">
        <v>31</v>
      </c>
      <c r="B20" s="43">
        <f>VLOOKUP(A20,[2]ticket_pivot!$A$6:$V$127,2,FALSE)</f>
        <v>9477289.56</v>
      </c>
      <c r="C20" s="43">
        <f>VLOOKUP(A20,[2]ticket_pivot!$A$6:$V$127,3,FALSE)</f>
        <v>8762651.44</v>
      </c>
      <c r="D20" s="44">
        <f t="shared" si="0"/>
        <v>0.924594672825423</v>
      </c>
      <c r="E20" s="43">
        <f>VLOOKUP(A20,[2]ticket_pivot!$A$6:$V$127,4,FALSE)</f>
        <v>8752405.86</v>
      </c>
      <c r="F20" s="44">
        <f t="shared" si="1"/>
        <v>0.998830767140499</v>
      </c>
      <c r="G20" s="43">
        <f>VLOOKUP(A20,[2]Sheet12!$A$5:$G$125,2,FALSE)</f>
        <v>125527437.04</v>
      </c>
      <c r="H20" s="43"/>
      <c r="I20" s="44">
        <f t="shared" si="2"/>
        <v>0</v>
      </c>
      <c r="J20" s="43">
        <f>VLOOKUP(A20,[2]PAR!$A$5:$H$120,2,FALSE)</f>
        <v>4657566.4</v>
      </c>
      <c r="K20" s="44">
        <f t="shared" si="3"/>
        <v>0.0371039711303581</v>
      </c>
    </row>
    <row r="21" spans="1:11">
      <c r="A21" s="40" t="s">
        <v>32</v>
      </c>
      <c r="B21" s="43">
        <f>VLOOKUP(A21,[2]ticket_pivot!$A$6:$V$127,2,FALSE)</f>
        <v>8642789.78</v>
      </c>
      <c r="C21" s="43">
        <f>VLOOKUP(A21,[2]ticket_pivot!$A$6:$V$127,3,FALSE)</f>
        <v>8533524.45</v>
      </c>
      <c r="D21" s="44">
        <f t="shared" si="0"/>
        <v>0.987357631877979</v>
      </c>
      <c r="E21" s="43">
        <f>VLOOKUP(A21,[2]ticket_pivot!$A$6:$V$127,4,FALSE)</f>
        <v>8525561.18</v>
      </c>
      <c r="F21" s="44">
        <f t="shared" si="1"/>
        <v>0.99906682519671</v>
      </c>
      <c r="G21" s="43">
        <f>VLOOKUP(A21,[2]Sheet12!$A$5:$G$125,2,FALSE)</f>
        <v>123870959.86</v>
      </c>
      <c r="H21" s="43"/>
      <c r="I21" s="44">
        <f t="shared" si="2"/>
        <v>0</v>
      </c>
      <c r="J21" s="43"/>
      <c r="K21" s="44">
        <f t="shared" si="3"/>
        <v>0</v>
      </c>
    </row>
    <row r="22" spans="1:11">
      <c r="A22" s="40" t="s">
        <v>33</v>
      </c>
      <c r="B22" s="43">
        <f>VLOOKUP(A22,[2]ticket_pivot!$A$6:$V$127,2,FALSE)</f>
        <v>6027729.24</v>
      </c>
      <c r="C22" s="43">
        <f>VLOOKUP(A22,[2]ticket_pivot!$A$6:$V$127,3,FALSE)</f>
        <v>5956675.87</v>
      </c>
      <c r="D22" s="44">
        <f t="shared" si="0"/>
        <v>0.988212249228368</v>
      </c>
      <c r="E22" s="43">
        <f>VLOOKUP(A22,[2]ticket_pivot!$A$6:$V$127,4,FALSE)</f>
        <v>5948935.89</v>
      </c>
      <c r="F22" s="44">
        <f t="shared" si="1"/>
        <v>0.998700620921984</v>
      </c>
      <c r="G22" s="43">
        <f>VLOOKUP(A22,[2]Sheet12!$A$5:$G$125,2,FALSE)</f>
        <v>87674571.76</v>
      </c>
      <c r="H22" s="43"/>
      <c r="I22" s="44">
        <f t="shared" si="2"/>
        <v>0</v>
      </c>
      <c r="J22" s="43"/>
      <c r="K22" s="44">
        <f t="shared" si="3"/>
        <v>0</v>
      </c>
    </row>
    <row r="23" spans="1:11">
      <c r="A23" s="40" t="s">
        <v>34</v>
      </c>
      <c r="B23" s="41">
        <f>VLOOKUP(A23,[2]ticket_pivot!$A$6:$V$127,2,FALSE)</f>
        <v>10790109.77</v>
      </c>
      <c r="C23" s="41">
        <f>VLOOKUP(A23,[2]ticket_pivot!$A$6:$V$127,3,FALSE)</f>
        <v>10806540.45</v>
      </c>
      <c r="D23" s="42">
        <f t="shared" si="0"/>
        <v>1.00152275373933</v>
      </c>
      <c r="E23" s="41">
        <f>VLOOKUP(A23,[2]ticket_pivot!$A$6:$V$127,4,FALSE)</f>
        <v>10789363.09</v>
      </c>
      <c r="F23" s="42">
        <f t="shared" si="1"/>
        <v>0.998410466320884</v>
      </c>
      <c r="G23" s="41">
        <f>VLOOKUP(A23,[2]Sheet12!$A$5:$G$125,2,FALSE)</f>
        <v>161496606.03</v>
      </c>
      <c r="H23" s="41"/>
      <c r="I23" s="42">
        <f t="shared" si="2"/>
        <v>0</v>
      </c>
      <c r="J23" s="41"/>
      <c r="K23" s="42">
        <f t="shared" si="3"/>
        <v>0</v>
      </c>
    </row>
    <row r="24" spans="1:11">
      <c r="A24" s="45" t="s">
        <v>35</v>
      </c>
      <c r="B24" s="46">
        <f>SUM(B19:B23)</f>
        <v>47245436.54</v>
      </c>
      <c r="C24" s="46">
        <f>SUM(C19:C23)</f>
        <v>46304132.34</v>
      </c>
      <c r="D24" s="47">
        <f t="shared" si="0"/>
        <v>0.980076293734675</v>
      </c>
      <c r="E24" s="46">
        <f>SUM(E19:E23)</f>
        <v>46199965.18</v>
      </c>
      <c r="F24" s="47">
        <f t="shared" si="1"/>
        <v>0.997750370113079</v>
      </c>
      <c r="G24" s="46">
        <f>SUM(G19:G23)</f>
        <v>669245157.06</v>
      </c>
      <c r="H24" s="46"/>
      <c r="I24" s="47">
        <f t="shared" si="2"/>
        <v>0</v>
      </c>
      <c r="J24" s="46">
        <f>SUM(J20:J23)</f>
        <v>4657566.4</v>
      </c>
      <c r="K24" s="47">
        <f t="shared" si="3"/>
        <v>0.00695943235579131</v>
      </c>
    </row>
    <row r="25" spans="1:11">
      <c r="A25" s="40" t="s">
        <v>36</v>
      </c>
      <c r="B25" s="43">
        <f>VLOOKUP(A25,[2]ticket_pivot!$A$6:$V$127,2,FALSE)</f>
        <v>4861988.84</v>
      </c>
      <c r="C25" s="43">
        <f>VLOOKUP(A25,[2]ticket_pivot!$A$6:$V$127,3,FALSE)</f>
        <v>4854331.91</v>
      </c>
      <c r="D25" s="44">
        <f t="shared" si="0"/>
        <v>0.99842514447236</v>
      </c>
      <c r="E25" s="43">
        <f>VLOOKUP(A25,[2]ticket_pivot!$A$6:$V$127,4,FALSE)</f>
        <v>4849235.25</v>
      </c>
      <c r="F25" s="44">
        <f t="shared" si="1"/>
        <v>0.998950080032743</v>
      </c>
      <c r="G25" s="43">
        <f>VLOOKUP(A25,[2]Sheet12!$A$5:$G$125,2,FALSE)</f>
        <v>65294598.5</v>
      </c>
      <c r="H25" s="43"/>
      <c r="I25" s="44">
        <f t="shared" si="2"/>
        <v>0</v>
      </c>
      <c r="J25" s="43"/>
      <c r="K25" s="44">
        <f t="shared" si="3"/>
        <v>0</v>
      </c>
    </row>
    <row r="26" spans="1:11">
      <c r="A26" s="40" t="s">
        <v>37</v>
      </c>
      <c r="B26" s="43">
        <f>VLOOKUP(A26,[2]ticket_pivot!$A$6:$V$127,2,FALSE)</f>
        <v>9916197.13</v>
      </c>
      <c r="C26" s="43">
        <f>VLOOKUP(A26,[2]ticket_pivot!$A$6:$V$127,3,FALSE)</f>
        <v>9576352.81</v>
      </c>
      <c r="D26" s="44">
        <f t="shared" si="0"/>
        <v>0.965728361836227</v>
      </c>
      <c r="E26" s="43">
        <f>VLOOKUP(A26,[2]ticket_pivot!$A$6:$V$127,4,FALSE)</f>
        <v>9543675.21</v>
      </c>
      <c r="F26" s="44">
        <f t="shared" si="1"/>
        <v>0.996587677934561</v>
      </c>
      <c r="G26" s="43">
        <f>VLOOKUP(A26,[2]Sheet12!$A$5:$G$125,2,FALSE)</f>
        <v>146580849.26</v>
      </c>
      <c r="H26" s="43"/>
      <c r="I26" s="44">
        <f t="shared" si="2"/>
        <v>0</v>
      </c>
      <c r="J26" s="43">
        <f>VLOOKUP(A26,[2]PAR!$A$5:$H$120,2,FALSE)</f>
        <v>1573589.7</v>
      </c>
      <c r="K26" s="44">
        <f t="shared" si="3"/>
        <v>0.0107353021076363</v>
      </c>
    </row>
    <row r="27" spans="1:11">
      <c r="A27" s="40" t="s">
        <v>38</v>
      </c>
      <c r="B27" s="43">
        <f>VLOOKUP(A27,[2]ticket_pivot!$A$6:$V$127,2,FALSE)</f>
        <v>6401684.34</v>
      </c>
      <c r="C27" s="43">
        <f>VLOOKUP(A27,[2]ticket_pivot!$A$6:$V$127,3,FALSE)</f>
        <v>6288205.81</v>
      </c>
      <c r="D27" s="44">
        <f t="shared" si="0"/>
        <v>0.982273644876405</v>
      </c>
      <c r="E27" s="43">
        <f>VLOOKUP(A27,[2]ticket_pivot!$A$6:$V$127,4,FALSE)</f>
        <v>6256898.12</v>
      </c>
      <c r="F27" s="44">
        <f t="shared" si="1"/>
        <v>0.995021204625616</v>
      </c>
      <c r="G27" s="43">
        <f>VLOOKUP(A27,[2]Sheet12!$A$5:$G$125,2,FALSE)</f>
        <v>85997455.26</v>
      </c>
      <c r="H27" s="43"/>
      <c r="I27" s="44">
        <f t="shared" si="2"/>
        <v>0</v>
      </c>
      <c r="J27" s="43"/>
      <c r="K27" s="44">
        <f t="shared" si="3"/>
        <v>0</v>
      </c>
    </row>
    <row r="28" spans="1:11">
      <c r="A28" s="45" t="s">
        <v>39</v>
      </c>
      <c r="B28" s="46">
        <f>SUM(B25:B27)</f>
        <v>21179870.31</v>
      </c>
      <c r="C28" s="46">
        <f>SUM(C25:C27)</f>
        <v>20718890.53</v>
      </c>
      <c r="D28" s="47">
        <f t="shared" si="0"/>
        <v>0.97823500459385</v>
      </c>
      <c r="E28" s="46">
        <f>SUM(E25:E27)</f>
        <v>20649808.58</v>
      </c>
      <c r="F28" s="47">
        <f t="shared" si="1"/>
        <v>0.996665750518833</v>
      </c>
      <c r="G28" s="46">
        <f>SUM(G25:G27)</f>
        <v>297872903.02</v>
      </c>
      <c r="H28" s="46"/>
      <c r="I28" s="47">
        <f t="shared" si="2"/>
        <v>0</v>
      </c>
      <c r="J28" s="46"/>
      <c r="K28" s="47">
        <f t="shared" si="3"/>
        <v>0</v>
      </c>
    </row>
    <row r="29" spans="1:11">
      <c r="A29" s="48" t="s">
        <v>40</v>
      </c>
      <c r="B29" s="49">
        <f>SUM(B28,B24,B18)</f>
        <v>132772064.69</v>
      </c>
      <c r="C29" s="49">
        <f>SUM(C28,C24,C18)</f>
        <v>108216518.95</v>
      </c>
      <c r="D29" s="50">
        <f t="shared" si="0"/>
        <v>0.815054877715934</v>
      </c>
      <c r="E29" s="49">
        <f>SUM(E28,E24,E18)</f>
        <v>107416885.54</v>
      </c>
      <c r="F29" s="50">
        <f t="shared" si="1"/>
        <v>0.992610800848533</v>
      </c>
      <c r="G29" s="49">
        <f>SUM(G28,G24,G18)</f>
        <v>1390045674.08</v>
      </c>
      <c r="H29" s="49"/>
      <c r="I29" s="50">
        <f t="shared" si="2"/>
        <v>0</v>
      </c>
      <c r="J29" s="49">
        <f>SUM(J28,J24,J18)</f>
        <v>6830984.79</v>
      </c>
      <c r="K29" s="50">
        <f t="shared" si="3"/>
        <v>0.00491421607028926</v>
      </c>
    </row>
    <row r="30" spans="1:11">
      <c r="A30" s="40" t="s">
        <v>41</v>
      </c>
      <c r="B30" s="43">
        <f>VLOOKUP(A30,[2]ticket_pivot!$A$6:$V$127,2,FALSE)</f>
        <v>7956885.9</v>
      </c>
      <c r="C30" s="43">
        <f>VLOOKUP(A30,[2]ticket_pivot!$A$6:$V$127,3,FALSE)</f>
        <v>7773056.02</v>
      </c>
      <c r="D30" s="44">
        <f t="shared" si="0"/>
        <v>0.976896755551063</v>
      </c>
      <c r="E30" s="43">
        <f>VLOOKUP(A30,[2]ticket_pivot!$A$6:$V$127,4,FALSE)</f>
        <v>7620256.09</v>
      </c>
      <c r="F30" s="44">
        <f t="shared" si="1"/>
        <v>0.980342360892955</v>
      </c>
      <c r="G30" s="43">
        <f>VLOOKUP(A30,[2]Sheet12!$A$5:$G$125,2,FALSE)</f>
        <v>103315479.17</v>
      </c>
      <c r="H30" s="43"/>
      <c r="I30" s="44">
        <f t="shared" si="2"/>
        <v>0</v>
      </c>
      <c r="J30" s="43"/>
      <c r="K30" s="44">
        <f t="shared" si="3"/>
        <v>0</v>
      </c>
    </row>
    <row r="31" spans="1:11">
      <c r="A31" s="40" t="s">
        <v>42</v>
      </c>
      <c r="B31" s="41">
        <f>VLOOKUP(A31,[2]ticket_pivot!$A$6:$V$127,2,FALSE)</f>
        <v>9931079.89</v>
      </c>
      <c r="C31" s="41">
        <f>VLOOKUP(A31,[2]ticket_pivot!$A$6:$V$127,3,FALSE)</f>
        <v>9445165.04</v>
      </c>
      <c r="D31" s="42">
        <f t="shared" si="0"/>
        <v>0.951071297846543</v>
      </c>
      <c r="E31" s="41">
        <f>VLOOKUP(A31,[2]ticket_pivot!$A$6:$V$127,4,FALSE)</f>
        <v>9432635.96</v>
      </c>
      <c r="F31" s="42">
        <f t="shared" si="1"/>
        <v>0.998673492739731</v>
      </c>
      <c r="G31" s="41">
        <f>VLOOKUP(A31,[2]Sheet12!$A$5:$G$125,2,FALSE)</f>
        <v>134566285.04</v>
      </c>
      <c r="H31" s="41">
        <f>VLOOKUP(A31,[2]NPL!$A$5:$H$119,2,FALSE)</f>
        <v>363532.41</v>
      </c>
      <c r="I31" s="42">
        <f t="shared" si="2"/>
        <v>0.00270151182290527</v>
      </c>
      <c r="J31" s="41">
        <f>VLOOKUP(A31,[2]PAR!$A$5:$H$120,2,FALSE)</f>
        <v>363532.41</v>
      </c>
      <c r="K31" s="42">
        <f t="shared" si="3"/>
        <v>0.00270151182290527</v>
      </c>
    </row>
    <row r="32" spans="1:11">
      <c r="A32" s="40" t="s">
        <v>43</v>
      </c>
      <c r="B32" s="41"/>
      <c r="C32" s="41"/>
      <c r="D32" s="42" t="str">
        <f t="shared" si="0"/>
        <v/>
      </c>
      <c r="E32" s="41"/>
      <c r="F32" s="42" t="str">
        <f t="shared" si="1"/>
        <v/>
      </c>
      <c r="G32" s="41"/>
      <c r="H32" s="41"/>
      <c r="I32" s="42" t="str">
        <f t="shared" si="2"/>
        <v/>
      </c>
      <c r="J32" s="41"/>
      <c r="K32" s="42" t="str">
        <f t="shared" si="3"/>
        <v/>
      </c>
    </row>
    <row r="33" spans="1:11">
      <c r="A33" s="45" t="s">
        <v>44</v>
      </c>
      <c r="B33" s="46">
        <f>SUM(B30:B32)</f>
        <v>17887965.79</v>
      </c>
      <c r="C33" s="46">
        <f>SUM(C30:C32)</f>
        <v>17218221.06</v>
      </c>
      <c r="D33" s="47">
        <f t="shared" si="0"/>
        <v>0.962558921575397</v>
      </c>
      <c r="E33" s="46">
        <f>SUM(E30:E32)</f>
        <v>17052892.05</v>
      </c>
      <c r="F33" s="47">
        <f t="shared" si="1"/>
        <v>0.990398020247046</v>
      </c>
      <c r="G33" s="46">
        <f>SUM(G30:G32)</f>
        <v>237881764.21</v>
      </c>
      <c r="H33" s="46">
        <f>SUM(H30:H32)</f>
        <v>363532.41</v>
      </c>
      <c r="I33" s="47">
        <f t="shared" si="2"/>
        <v>0.00152820629696977</v>
      </c>
      <c r="J33" s="46">
        <f>SUM(J30:J32)</f>
        <v>363532.41</v>
      </c>
      <c r="K33" s="47">
        <f t="shared" si="3"/>
        <v>0.00152820629696977</v>
      </c>
    </row>
    <row r="34" spans="1:11">
      <c r="A34" s="40" t="s">
        <v>45</v>
      </c>
      <c r="B34" s="43">
        <f>VLOOKUP(A34,[2]ticket_pivot!$A$6:$V$127,2,FALSE)</f>
        <v>6913888.64</v>
      </c>
      <c r="C34" s="43">
        <f>VLOOKUP(A34,[2]ticket_pivot!$A$6:$V$127,3,FALSE)</f>
        <v>6753059.96</v>
      </c>
      <c r="D34" s="44">
        <f t="shared" si="0"/>
        <v>0.976738317844819</v>
      </c>
      <c r="E34" s="43">
        <f>VLOOKUP(A34,[2]ticket_pivot!$A$6:$V$127,4,FALSE)</f>
        <v>6736930.79</v>
      </c>
      <c r="F34" s="44">
        <f t="shared" si="1"/>
        <v>0.997611576071361</v>
      </c>
      <c r="G34" s="43">
        <f>VLOOKUP(A34,[2]Sheet12!$A$5:$G$125,2,FALSE)</f>
        <v>104573559.25</v>
      </c>
      <c r="H34" s="43"/>
      <c r="I34" s="44">
        <f t="shared" si="2"/>
        <v>0</v>
      </c>
      <c r="J34" s="43"/>
      <c r="K34" s="44">
        <f t="shared" si="3"/>
        <v>0</v>
      </c>
    </row>
    <row r="35" spans="1:11">
      <c r="A35" s="40" t="s">
        <v>46</v>
      </c>
      <c r="B35" s="43">
        <f>VLOOKUP(A35,[2]ticket_pivot!$A$6:$V$127,2,FALSE)</f>
        <v>16864351.52</v>
      </c>
      <c r="C35" s="43">
        <f>VLOOKUP(A35,[2]ticket_pivot!$A$6:$V$127,3,FALSE)</f>
        <v>16589467.4</v>
      </c>
      <c r="D35" s="44">
        <f t="shared" si="0"/>
        <v>0.983700285203733</v>
      </c>
      <c r="E35" s="43">
        <f>VLOOKUP(A35,[2]ticket_pivot!$A$6:$V$127,4,FALSE)</f>
        <v>16434976.66</v>
      </c>
      <c r="F35" s="44">
        <f t="shared" si="1"/>
        <v>0.990687420139841</v>
      </c>
      <c r="G35" s="43">
        <f>VLOOKUP(A35,[2]Sheet12!$A$5:$G$125,2,FALSE)</f>
        <v>292867729.12</v>
      </c>
      <c r="H35" s="43"/>
      <c r="I35" s="44">
        <f t="shared" si="2"/>
        <v>0</v>
      </c>
      <c r="J35" s="43"/>
      <c r="K35" s="44">
        <f t="shared" si="3"/>
        <v>0</v>
      </c>
    </row>
    <row r="36" spans="1:11">
      <c r="A36" s="45" t="s">
        <v>47</v>
      </c>
      <c r="B36" s="46">
        <f>SUM(B34:B35)</f>
        <v>23778240.16</v>
      </c>
      <c r="C36" s="46">
        <f>SUM(C34:C35)</f>
        <v>23342527.36</v>
      </c>
      <c r="D36" s="47">
        <f t="shared" si="0"/>
        <v>0.981675986234971</v>
      </c>
      <c r="E36" s="46">
        <f>SUM(E34:E35)</f>
        <v>23171907.45</v>
      </c>
      <c r="F36" s="47">
        <f t="shared" si="1"/>
        <v>0.992690598264335</v>
      </c>
      <c r="G36" s="46">
        <f>SUM(G34:G35)</f>
        <v>397441288.37</v>
      </c>
      <c r="H36" s="46"/>
      <c r="I36" s="47">
        <f t="shared" si="2"/>
        <v>0</v>
      </c>
      <c r="J36" s="46">
        <f>SUM(J34:J35)</f>
        <v>0</v>
      </c>
      <c r="K36" s="47">
        <f t="shared" si="3"/>
        <v>0</v>
      </c>
    </row>
    <row r="37" spans="1:11">
      <c r="A37" s="48" t="s">
        <v>48</v>
      </c>
      <c r="B37" s="49">
        <f>SUM(B36,B33)</f>
        <v>41666205.95</v>
      </c>
      <c r="C37" s="49">
        <f>SUM(C36,C33)</f>
        <v>40560748.42</v>
      </c>
      <c r="D37" s="50">
        <f t="shared" si="0"/>
        <v>0.973468725918396</v>
      </c>
      <c r="E37" s="49">
        <f>SUM(E36,E33)</f>
        <v>40224799.5</v>
      </c>
      <c r="F37" s="50">
        <f t="shared" si="1"/>
        <v>0.991717388532349</v>
      </c>
      <c r="G37" s="49">
        <f>SUM(G36,G33)</f>
        <v>635323052.58</v>
      </c>
      <c r="H37" s="49"/>
      <c r="I37" s="50">
        <f t="shared" si="2"/>
        <v>0</v>
      </c>
      <c r="J37" s="49">
        <f>SUM(J36,J33)</f>
        <v>363532.41</v>
      </c>
      <c r="K37" s="50">
        <f t="shared" si="3"/>
        <v>0.000572200880361136</v>
      </c>
    </row>
    <row r="38" spans="1:11">
      <c r="A38" s="40" t="s">
        <v>49</v>
      </c>
      <c r="B38" s="41">
        <f>VLOOKUP(A38,[2]ticket_pivot!$A$6:$V$127,2,FALSE)</f>
        <v>15158893</v>
      </c>
      <c r="C38" s="41">
        <f>VLOOKUP(A38,[2]ticket_pivot!$A$6:$V$127,3,FALSE)</f>
        <v>14213793.16</v>
      </c>
      <c r="D38" s="42">
        <f t="shared" si="0"/>
        <v>0.937653769308881</v>
      </c>
      <c r="E38" s="41">
        <f>VLOOKUP(A38,[2]ticket_pivot!$A$6:$V$127,4,FALSE)</f>
        <v>14203383.26</v>
      </c>
      <c r="F38" s="42">
        <f t="shared" si="1"/>
        <v>0.999267619847649</v>
      </c>
      <c r="G38" s="41">
        <f>VLOOKUP(A38,[2]Sheet12!$A$5:$G$125,2,FALSE)</f>
        <v>210683641.12</v>
      </c>
      <c r="H38" s="41"/>
      <c r="I38" s="42">
        <f t="shared" si="2"/>
        <v>0</v>
      </c>
      <c r="J38" s="41">
        <f>VLOOKUP(A38,[2]PAR!$A$5:$H$120,2,FALSE)</f>
        <v>1762800.35</v>
      </c>
      <c r="K38" s="42">
        <f t="shared" si="3"/>
        <v>0.00836704900593565</v>
      </c>
    </row>
    <row r="39" spans="1:11">
      <c r="A39" s="40" t="s">
        <v>50</v>
      </c>
      <c r="B39" s="43">
        <f>VLOOKUP(A39,[2]ticket_pivot!$A$6:$V$127,2,FALSE)</f>
        <v>9490990.12</v>
      </c>
      <c r="C39" s="43">
        <f>VLOOKUP(A39,[2]ticket_pivot!$A$6:$V$127,3,FALSE)</f>
        <v>9199436.56</v>
      </c>
      <c r="D39" s="44">
        <f t="shared" si="0"/>
        <v>0.969281017437199</v>
      </c>
      <c r="E39" s="43">
        <f>VLOOKUP(A39,[2]ticket_pivot!$A$6:$V$127,4,FALSE)</f>
        <v>9161504.78</v>
      </c>
      <c r="F39" s="44">
        <f t="shared" si="1"/>
        <v>0.995876727911258</v>
      </c>
      <c r="G39" s="43">
        <f>VLOOKUP(A39,[2]Sheet12!$A$5:$G$125,2,FALSE)</f>
        <v>98291659.48</v>
      </c>
      <c r="H39" s="43"/>
      <c r="I39" s="44">
        <f t="shared" si="2"/>
        <v>0</v>
      </c>
      <c r="J39" s="43">
        <f>VLOOKUP(A39,[2]PAR!$A$5:$H$120,2,FALSE)</f>
        <v>1037102.36</v>
      </c>
      <c r="K39" s="44">
        <f t="shared" si="3"/>
        <v>0.0105512753115235</v>
      </c>
    </row>
    <row r="40" spans="1:11">
      <c r="A40" s="40" t="s">
        <v>51</v>
      </c>
      <c r="B40" s="43">
        <f>VLOOKUP(A40,[2]ticket_pivot!$A$6:$V$127,2,FALSE)</f>
        <v>19663739.29</v>
      </c>
      <c r="C40" s="43">
        <f>VLOOKUP(A40,[2]ticket_pivot!$A$6:$V$127,3,FALSE)</f>
        <v>18265496.1</v>
      </c>
      <c r="D40" s="44">
        <f t="shared" si="0"/>
        <v>0.928892304287666</v>
      </c>
      <c r="E40" s="43">
        <f>VLOOKUP(A40,[2]ticket_pivot!$A$6:$V$127,4,FALSE)</f>
        <v>18215547.14</v>
      </c>
      <c r="F40" s="44">
        <f t="shared" si="1"/>
        <v>0.997265392643783</v>
      </c>
      <c r="G40" s="43">
        <f>VLOOKUP(A40,[2]Sheet12!$A$5:$G$125,2,FALSE)</f>
        <v>164735117.71</v>
      </c>
      <c r="H40" s="43"/>
      <c r="I40" s="44">
        <f t="shared" si="2"/>
        <v>0</v>
      </c>
      <c r="J40" s="43">
        <f>VLOOKUP(A40,[2]PAR!$A$5:$H$120,2,FALSE)</f>
        <v>3413620.04</v>
      </c>
      <c r="K40" s="44">
        <f t="shared" si="3"/>
        <v>0.0207218721026402</v>
      </c>
    </row>
    <row r="41" spans="1:11">
      <c r="A41" s="40" t="s">
        <v>52</v>
      </c>
      <c r="B41" s="43">
        <f>VLOOKUP(A41,[2]ticket_pivot!$A$6:$V$127,2,FALSE)</f>
        <v>5765055.12</v>
      </c>
      <c r="C41" s="43">
        <f>VLOOKUP(A41,[2]ticket_pivot!$A$6:$V$127,3,FALSE)</f>
        <v>7314246.1</v>
      </c>
      <c r="D41" s="44">
        <f t="shared" si="0"/>
        <v>1.26872093115391</v>
      </c>
      <c r="E41" s="43">
        <f>VLOOKUP(A41,[2]ticket_pivot!$A$6:$V$127,4,FALSE)</f>
        <v>5759175.62</v>
      </c>
      <c r="F41" s="44">
        <f t="shared" si="1"/>
        <v>0.787391556321847</v>
      </c>
      <c r="G41" s="43">
        <f>VLOOKUP(A41,[2]Sheet12!$A$5:$G$125,2,FALSE)</f>
        <v>66229912.25</v>
      </c>
      <c r="H41" s="43"/>
      <c r="I41" s="44">
        <f t="shared" si="2"/>
        <v>0</v>
      </c>
      <c r="J41" s="43"/>
      <c r="K41" s="44">
        <f t="shared" si="3"/>
        <v>0</v>
      </c>
    </row>
    <row r="42" spans="1:11">
      <c r="A42" s="40" t="s">
        <v>53</v>
      </c>
      <c r="B42" s="43">
        <f>VLOOKUP(A42,[2]ticket_pivot!$A$6:$V$127,2,FALSE)</f>
        <v>7573943.55</v>
      </c>
      <c r="C42" s="43">
        <f>VLOOKUP(A42,[2]ticket_pivot!$A$6:$V$127,3,FALSE)</f>
        <v>7303163.14</v>
      </c>
      <c r="D42" s="44">
        <f t="shared" si="0"/>
        <v>0.964248425115342</v>
      </c>
      <c r="E42" s="43">
        <f>VLOOKUP(A42,[2]ticket_pivot!$A$6:$V$127,4,FALSE)</f>
        <v>7293464.51</v>
      </c>
      <c r="F42" s="44">
        <f t="shared" si="1"/>
        <v>0.998671995981182</v>
      </c>
      <c r="G42" s="43">
        <f>VLOOKUP(A42,[2]Sheet12!$A$5:$G$125,2,FALSE)</f>
        <v>90523043.14</v>
      </c>
      <c r="H42" s="43">
        <f>VLOOKUP(A42,[2]NPL!$A$5:$H$119,2,FALSE)</f>
        <v>205504.01</v>
      </c>
      <c r="I42" s="44">
        <f t="shared" si="2"/>
        <v>0.00227018450630492</v>
      </c>
      <c r="J42" s="43">
        <f>VLOOKUP(A42,[2]PAR!$A$5:$H$120,2,FALSE)</f>
        <v>827277.82</v>
      </c>
      <c r="K42" s="44">
        <f t="shared" si="3"/>
        <v>0.00913886444052217</v>
      </c>
    </row>
    <row r="43" spans="1:11">
      <c r="A43" s="45" t="s">
        <v>54</v>
      </c>
      <c r="B43" s="46">
        <f>SUM(B38:B42)</f>
        <v>57652621.08</v>
      </c>
      <c r="C43" s="46">
        <f>SUM(C38:C42)</f>
        <v>56296135.06</v>
      </c>
      <c r="D43" s="47">
        <f t="shared" si="0"/>
        <v>0.976471390292599</v>
      </c>
      <c r="E43" s="46">
        <f>SUM(E38:E42)</f>
        <v>54633075.31</v>
      </c>
      <c r="F43" s="47">
        <f t="shared" si="1"/>
        <v>0.970458722464206</v>
      </c>
      <c r="G43" s="46">
        <f>SUM(G38:G42)</f>
        <v>630463373.7</v>
      </c>
      <c r="H43" s="46">
        <f>SUM(H38:H42)</f>
        <v>205504.01</v>
      </c>
      <c r="I43" s="47">
        <f t="shared" si="2"/>
        <v>0.000325957095324917</v>
      </c>
      <c r="J43" s="46">
        <f>SUM(J38:J42)</f>
        <v>7040800.57</v>
      </c>
      <c r="K43" s="47">
        <f t="shared" si="3"/>
        <v>0.0111676599525198</v>
      </c>
    </row>
    <row r="44" spans="1:11">
      <c r="A44" s="40" t="s">
        <v>55</v>
      </c>
      <c r="B44" s="41">
        <f>VLOOKUP(A44,[2]ticket_pivot!$A$6:$V$127,2,FALSE)</f>
        <v>7763400.03</v>
      </c>
      <c r="C44" s="41">
        <f>VLOOKUP(A44,[2]ticket_pivot!$A$6:$V$127,3,FALSE)</f>
        <v>7380467.93</v>
      </c>
      <c r="D44" s="42">
        <f t="shared" si="0"/>
        <v>0.950674691691753</v>
      </c>
      <c r="E44" s="41">
        <f>VLOOKUP(A44,[2]ticket_pivot!$A$6:$V$127,4,FALSE)</f>
        <v>7195434.5</v>
      </c>
      <c r="F44" s="42">
        <f t="shared" si="1"/>
        <v>0.974929309123087</v>
      </c>
      <c r="G44" s="41">
        <f>VLOOKUP(A44,[2]Sheet12!$A$5:$G$125,2,FALSE)</f>
        <v>100042164.79</v>
      </c>
      <c r="H44" s="41"/>
      <c r="I44" s="42">
        <f t="shared" si="2"/>
        <v>0</v>
      </c>
      <c r="J44" s="41">
        <f>VLOOKUP(A44,[2]PAR!$A$5:$H$120,2,FALSE)</f>
        <v>607392.84</v>
      </c>
      <c r="K44" s="42">
        <f t="shared" si="3"/>
        <v>0.00607136842025547</v>
      </c>
    </row>
    <row r="45" spans="1:11">
      <c r="A45" s="40" t="s">
        <v>56</v>
      </c>
      <c r="B45" s="41">
        <f>VLOOKUP(A45,[2]ticket_pivot!$A$6:$V$127,2,FALSE)</f>
        <v>9404331.58</v>
      </c>
      <c r="C45" s="41">
        <f>VLOOKUP(A45,[2]ticket_pivot!$A$6:$V$127,3,FALSE)</f>
        <v>7950342.08</v>
      </c>
      <c r="D45" s="42">
        <f t="shared" si="0"/>
        <v>0.845391510536254</v>
      </c>
      <c r="E45" s="41">
        <f>VLOOKUP(A45,[2]ticket_pivot!$A$6:$V$127,4,FALSE)</f>
        <v>7844592.61</v>
      </c>
      <c r="F45" s="42">
        <f t="shared" si="1"/>
        <v>0.986698752212685</v>
      </c>
      <c r="G45" s="41">
        <f>VLOOKUP(A45,[2]Sheet12!$A$5:$G$125,2,FALSE)</f>
        <v>113618310.08</v>
      </c>
      <c r="H45" s="41">
        <f>VLOOKUP(A45,[2]NPL!$A$5:$H$119,2,FALSE)</f>
        <v>1585889.27</v>
      </c>
      <c r="I45" s="42">
        <f t="shared" si="2"/>
        <v>0.0139580431083983</v>
      </c>
      <c r="J45" s="41">
        <f>VLOOKUP(A45,[2]PAR!$A$5:$H$120,2,FALSE)</f>
        <v>4137533.81</v>
      </c>
      <c r="K45" s="42">
        <f t="shared" si="3"/>
        <v>0.0364160829983012</v>
      </c>
    </row>
    <row r="46" spans="1:11">
      <c r="A46" s="40" t="s">
        <v>57</v>
      </c>
      <c r="B46" s="43">
        <f>VLOOKUP(A46,[2]ticket_pivot!$A$6:$V$127,2,FALSE)</f>
        <v>18517238.88</v>
      </c>
      <c r="C46" s="43">
        <f>VLOOKUP(A46,[2]ticket_pivot!$A$6:$V$127,3,FALSE)</f>
        <v>14433297.68</v>
      </c>
      <c r="D46" s="44">
        <f t="shared" si="0"/>
        <v>0.779451935222861</v>
      </c>
      <c r="E46" s="43">
        <f>VLOOKUP(A46,[2]ticket_pivot!$A$6:$V$127,4,FALSE)</f>
        <v>14422322.47</v>
      </c>
      <c r="F46" s="44">
        <f t="shared" si="1"/>
        <v>0.999239590962278</v>
      </c>
      <c r="G46" s="43">
        <f>VLOOKUP(A46,[2]Sheet12!$A$5:$G$125,2,FALSE)</f>
        <v>264143070.3</v>
      </c>
      <c r="H46" s="43"/>
      <c r="I46" s="44">
        <f t="shared" si="2"/>
        <v>0</v>
      </c>
      <c r="J46" s="43">
        <f>VLOOKUP(A46,[2]PAR!$A$5:$H$120,2,FALSE)</f>
        <v>12459504.14</v>
      </c>
      <c r="K46" s="44">
        <f t="shared" si="3"/>
        <v>0.0471695287173316</v>
      </c>
    </row>
    <row r="47" spans="1:11">
      <c r="A47" s="40" t="s">
        <v>58</v>
      </c>
      <c r="B47" s="43">
        <f>VLOOKUP(A47,[2]ticket_pivot!$A$6:$V$127,2,FALSE)</f>
        <v>3623946.28</v>
      </c>
      <c r="C47" s="43">
        <f>VLOOKUP(A47,[2]ticket_pivot!$A$6:$V$127,3,FALSE)</f>
        <v>3627751.74</v>
      </c>
      <c r="D47" s="44">
        <f t="shared" si="0"/>
        <v>1.00105008730979</v>
      </c>
      <c r="E47" s="43">
        <f>VLOOKUP(A47,[2]ticket_pivot!$A$6:$V$127,4,FALSE)</f>
        <v>3623946.28</v>
      </c>
      <c r="F47" s="44">
        <f t="shared" si="1"/>
        <v>0.998951014216866</v>
      </c>
      <c r="G47" s="43">
        <f>VLOOKUP(A47,[2]Sheet12!$A$5:$G$125,2,FALSE)</f>
        <v>49023403</v>
      </c>
      <c r="H47" s="43"/>
      <c r="I47" s="44">
        <f t="shared" si="2"/>
        <v>0</v>
      </c>
      <c r="J47" s="43"/>
      <c r="K47" s="44">
        <f t="shared" si="3"/>
        <v>0</v>
      </c>
    </row>
    <row r="48" spans="1:11">
      <c r="A48" s="45" t="s">
        <v>59</v>
      </c>
      <c r="B48" s="46">
        <f>SUM(B44:B47)</f>
        <v>39308916.77</v>
      </c>
      <c r="C48" s="46">
        <f>SUM(C44:C47)</f>
        <v>33391859.43</v>
      </c>
      <c r="D48" s="47">
        <f t="shared" si="0"/>
        <v>0.849472897596715</v>
      </c>
      <c r="E48" s="46">
        <f>SUM(E44:E47)</f>
        <v>33086295.86</v>
      </c>
      <c r="F48" s="47">
        <f t="shared" si="1"/>
        <v>0.990849159788764</v>
      </c>
      <c r="G48" s="46">
        <f>SUM(G44:G47)</f>
        <v>526826948.17</v>
      </c>
      <c r="H48" s="46">
        <f>SUM(H44:H47)</f>
        <v>1585889.27</v>
      </c>
      <c r="I48" s="47">
        <f t="shared" si="2"/>
        <v>0.00301026603803922</v>
      </c>
      <c r="J48" s="46">
        <f>SUM(J44:J47)</f>
        <v>17204430.79</v>
      </c>
      <c r="K48" s="47">
        <f t="shared" si="3"/>
        <v>0.032656702262027</v>
      </c>
    </row>
    <row r="49" spans="1:11">
      <c r="A49" s="48" t="s">
        <v>60</v>
      </c>
      <c r="B49" s="49">
        <f>SUM(B48,B43)</f>
        <v>96961537.85</v>
      </c>
      <c r="C49" s="49">
        <f>SUM(C48,C43)</f>
        <v>89687994.49</v>
      </c>
      <c r="D49" s="50">
        <f t="shared" si="0"/>
        <v>0.924985272291657</v>
      </c>
      <c r="E49" s="49">
        <f>SUM(E48,E43)</f>
        <v>87719371.17</v>
      </c>
      <c r="F49" s="50">
        <f t="shared" si="1"/>
        <v>0.978050313966832</v>
      </c>
      <c r="G49" s="49">
        <f>SUM(G48,G43)</f>
        <v>1157290321.87</v>
      </c>
      <c r="H49" s="49">
        <f>SUM(H48,H43)</f>
        <v>1791393.28</v>
      </c>
      <c r="I49" s="50">
        <f t="shared" si="2"/>
        <v>0.00154792038449383</v>
      </c>
      <c r="J49" s="49">
        <f>SUM(J48,J43)</f>
        <v>24245231.36</v>
      </c>
      <c r="K49" s="50">
        <f t="shared" si="3"/>
        <v>0.0209499992368583</v>
      </c>
    </row>
    <row r="50" spans="1:11">
      <c r="A50" s="51" t="s">
        <v>61</v>
      </c>
      <c r="B50" s="52">
        <f>SUM(B49,B37,B29,B13)</f>
        <v>353869022.14</v>
      </c>
      <c r="C50" s="52">
        <f>SUM(C49,C37,C29,C13)</f>
        <v>298473315.92</v>
      </c>
      <c r="D50" s="53">
        <f t="shared" si="0"/>
        <v>0.843457034229789</v>
      </c>
      <c r="E50" s="52">
        <f>SUM(E49,E37,E29,E13)</f>
        <v>293578970.35</v>
      </c>
      <c r="F50" s="53">
        <f t="shared" si="1"/>
        <v>0.983602066553541</v>
      </c>
      <c r="G50" s="52">
        <f>SUM(G49,G37,G29,G13)</f>
        <v>4206433492.64</v>
      </c>
      <c r="H50" s="52">
        <f>SUM(H49,H37,H29,H13)</f>
        <v>1791393.28</v>
      </c>
      <c r="I50" s="53">
        <f t="shared" si="2"/>
        <v>0.000425869868888787</v>
      </c>
      <c r="J50" s="52">
        <f>SUM(J49,J37,J29,J13)</f>
        <v>37263746.97</v>
      </c>
      <c r="K50" s="53">
        <f t="shared" si="3"/>
        <v>0.00885875101441647</v>
      </c>
    </row>
    <row r="51" spans="1:11">
      <c r="A51" s="40" t="s">
        <v>62</v>
      </c>
      <c r="B51" s="41">
        <f>VLOOKUP(A51,[2]ticket_pivot!$A$6:$V$127,2,FALSE)</f>
        <v>1850093.09</v>
      </c>
      <c r="C51" s="41">
        <f>VLOOKUP(A51,[2]ticket_pivot!$A$6:$V$127,3,FALSE)</f>
        <v>1846730.19</v>
      </c>
      <c r="D51" s="42">
        <f t="shared" si="0"/>
        <v>0.998182307680529</v>
      </c>
      <c r="E51" s="41">
        <f>VLOOKUP(A51,[2]ticket_pivot!$A$6:$V$127,4,FALSE)</f>
        <v>1845413.91</v>
      </c>
      <c r="F51" s="42">
        <f t="shared" si="1"/>
        <v>0.999287237514647</v>
      </c>
      <c r="G51" s="41">
        <f>VLOOKUP(A51,[2]Sheet12!$A$5:$G$125,2,FALSE)</f>
        <v>36046419.33</v>
      </c>
      <c r="H51" s="41"/>
      <c r="I51" s="42">
        <f t="shared" si="2"/>
        <v>0</v>
      </c>
      <c r="J51" s="41"/>
      <c r="K51" s="42">
        <f t="shared" si="3"/>
        <v>0</v>
      </c>
    </row>
    <row r="52" spans="1:11">
      <c r="A52" s="40" t="s">
        <v>63</v>
      </c>
      <c r="B52" s="43">
        <f>VLOOKUP(A52,[2]ticket_pivot!$A$6:$V$127,2,FALSE)</f>
        <v>3616050.14</v>
      </c>
      <c r="C52" s="43">
        <f>VLOOKUP(A52,[2]ticket_pivot!$A$6:$V$127,3,FALSE)</f>
        <v>3097910.21</v>
      </c>
      <c r="D52" s="44">
        <f t="shared" si="0"/>
        <v>0.85671107702063</v>
      </c>
      <c r="E52" s="43">
        <f>VLOOKUP(A52,[2]ticket_pivot!$A$6:$V$127,4,FALSE)</f>
        <v>3081705.58</v>
      </c>
      <c r="F52" s="44">
        <f t="shared" si="1"/>
        <v>0.994769173765046</v>
      </c>
      <c r="G52" s="43">
        <f>VLOOKUP(A52,[2]Sheet12!$A$5:$G$125,2,FALSE)</f>
        <v>90866907</v>
      </c>
      <c r="H52" s="43"/>
      <c r="I52" s="44">
        <f t="shared" si="2"/>
        <v>0</v>
      </c>
      <c r="J52" s="43">
        <f>VLOOKUP(A52,[2]PAR!$A$5:$H$120,2,FALSE)</f>
        <v>2421306.39</v>
      </c>
      <c r="K52" s="44">
        <f t="shared" si="3"/>
        <v>0.0266467349879093</v>
      </c>
    </row>
    <row r="53" spans="1:11">
      <c r="A53" s="40" t="s">
        <v>64</v>
      </c>
      <c r="B53" s="43">
        <f>VLOOKUP(A53,[2]ticket_pivot!$A$6:$V$127,2,FALSE)</f>
        <v>8073871.34</v>
      </c>
      <c r="C53" s="43">
        <f>VLOOKUP(A53,[2]ticket_pivot!$A$6:$V$127,3,FALSE)</f>
        <v>8088568.36</v>
      </c>
      <c r="D53" s="44">
        <f t="shared" si="0"/>
        <v>1.00182031882614</v>
      </c>
      <c r="E53" s="43">
        <f>VLOOKUP(A53,[2]ticket_pivot!$A$6:$V$127,4,FALSE)</f>
        <v>7374439.69</v>
      </c>
      <c r="F53" s="44">
        <f t="shared" si="1"/>
        <v>0.911711363715296</v>
      </c>
      <c r="G53" s="43">
        <f>VLOOKUP(A53,[2]Sheet12!$A$5:$G$125,2,FALSE)</f>
        <v>160726622.93</v>
      </c>
      <c r="H53" s="43"/>
      <c r="I53" s="44">
        <f t="shared" si="2"/>
        <v>0</v>
      </c>
      <c r="J53" s="43">
        <f>VLOOKUP(A53,[2]PAR!$A$5:$H$120,2,FALSE)</f>
        <v>1892237.48</v>
      </c>
      <c r="K53" s="44">
        <f t="shared" si="3"/>
        <v>0.0117730183432281</v>
      </c>
    </row>
    <row r="54" spans="1:11">
      <c r="A54" s="40" t="s">
        <v>65</v>
      </c>
      <c r="B54" s="43"/>
      <c r="C54" s="43"/>
      <c r="D54" s="44" t="str">
        <f t="shared" si="0"/>
        <v/>
      </c>
      <c r="E54" s="43"/>
      <c r="F54" s="44" t="str">
        <f t="shared" si="1"/>
        <v/>
      </c>
      <c r="G54" s="43"/>
      <c r="H54" s="43"/>
      <c r="I54" s="44" t="str">
        <f t="shared" si="2"/>
        <v/>
      </c>
      <c r="J54" s="43"/>
      <c r="K54" s="44" t="str">
        <f t="shared" si="3"/>
        <v/>
      </c>
    </row>
    <row r="55" spans="1:11">
      <c r="A55" s="45" t="s">
        <v>66</v>
      </c>
      <c r="B55" s="46">
        <f>SUM(B51:B54)</f>
        <v>13540014.57</v>
      </c>
      <c r="C55" s="46">
        <f>SUM(C51:C54)</f>
        <v>13033208.76</v>
      </c>
      <c r="D55" s="47">
        <f t="shared" si="0"/>
        <v>0.962569773660148</v>
      </c>
      <c r="E55" s="46">
        <f>SUM(E51:E54)</f>
        <v>12301559.18</v>
      </c>
      <c r="F55" s="47">
        <f t="shared" si="1"/>
        <v>0.943862667016775</v>
      </c>
      <c r="G55" s="46">
        <f>SUM(G51:G54)</f>
        <v>287639949.26</v>
      </c>
      <c r="H55" s="46"/>
      <c r="I55" s="47">
        <f t="shared" si="2"/>
        <v>0</v>
      </c>
      <c r="J55" s="46">
        <f>SUM(J51:J54)</f>
        <v>4313543.87</v>
      </c>
      <c r="K55" s="47">
        <f t="shared" si="3"/>
        <v>0.0149963309376785</v>
      </c>
    </row>
    <row r="56" spans="1:11">
      <c r="A56" s="40" t="s">
        <v>67</v>
      </c>
      <c r="B56" s="43">
        <f>VLOOKUP(A56,[2]ticket_pivot!$A$6:$V$127,2,FALSE)</f>
        <v>9261710.05</v>
      </c>
      <c r="C56" s="43">
        <f>VLOOKUP(A56,[2]ticket_pivot!$A$6:$V$127,3,FALSE)</f>
        <v>7442058.11</v>
      </c>
      <c r="D56" s="44">
        <f t="shared" si="0"/>
        <v>0.803529593328178</v>
      </c>
      <c r="E56" s="43">
        <f>VLOOKUP(A56,[2]ticket_pivot!$A$6:$V$127,4,FALSE)</f>
        <v>7212263.6</v>
      </c>
      <c r="F56" s="44">
        <f t="shared" si="1"/>
        <v>0.969122182788224</v>
      </c>
      <c r="G56" s="43">
        <f>VLOOKUP(A56,[2]Sheet12!$A$5:$G$125,2,FALSE)</f>
        <v>152862409.21</v>
      </c>
      <c r="H56" s="43"/>
      <c r="I56" s="44">
        <f t="shared" si="2"/>
        <v>0</v>
      </c>
      <c r="J56" s="43">
        <f>VLOOKUP(A56,[2]PAR!$A$5:$H$120,2,FALSE)</f>
        <v>8170953.46</v>
      </c>
      <c r="K56" s="44">
        <f t="shared" si="3"/>
        <v>0.0534529941156094</v>
      </c>
    </row>
    <row r="57" spans="1:11">
      <c r="A57" s="40" t="s">
        <v>68</v>
      </c>
      <c r="B57" s="41">
        <f>VLOOKUP(A57,[2]ticket_pivot!$A$6:$V$127,2,FALSE)</f>
        <v>8711275.45</v>
      </c>
      <c r="C57" s="41">
        <f>VLOOKUP(A57,[2]ticket_pivot!$A$6:$V$127,3,FALSE)</f>
        <v>8197988.33</v>
      </c>
      <c r="D57" s="42">
        <f t="shared" si="0"/>
        <v>0.941077845265471</v>
      </c>
      <c r="E57" s="41">
        <f>VLOOKUP(A57,[2]ticket_pivot!$A$6:$V$127,4,FALSE)</f>
        <v>8080969.07</v>
      </c>
      <c r="F57" s="42">
        <f t="shared" si="1"/>
        <v>0.985725856723682</v>
      </c>
      <c r="G57" s="41">
        <f>VLOOKUP(A57,[2]Sheet12!$A$5:$G$125,2,FALSE)</f>
        <v>131229504.74</v>
      </c>
      <c r="H57" s="41"/>
      <c r="I57" s="42">
        <f t="shared" si="2"/>
        <v>0</v>
      </c>
      <c r="J57" s="41">
        <f>VLOOKUP(A57,[2]PAR!$A$5:$H$120,2,FALSE)</f>
        <v>2497993.34</v>
      </c>
      <c r="K57" s="42">
        <f t="shared" si="3"/>
        <v>0.0190353026550636</v>
      </c>
    </row>
    <row r="58" spans="1:11">
      <c r="A58" s="40" t="s">
        <v>69</v>
      </c>
      <c r="B58" s="41">
        <f>VLOOKUP(A58,[2]ticket_pivot!$A$6:$V$127,2,FALSE)</f>
        <v>8433080.01</v>
      </c>
      <c r="C58" s="41">
        <f>VLOOKUP(A58,[2]ticket_pivot!$A$6:$V$127,3,FALSE)</f>
        <v>7481231.42</v>
      </c>
      <c r="D58" s="42">
        <f t="shared" si="0"/>
        <v>0.887129187809046</v>
      </c>
      <c r="E58" s="41">
        <f>VLOOKUP(A58,[2]ticket_pivot!$A$6:$V$127,4,FALSE)</f>
        <v>7471954.63</v>
      </c>
      <c r="F58" s="42">
        <f t="shared" si="1"/>
        <v>0.998759991573687</v>
      </c>
      <c r="G58" s="41">
        <f>VLOOKUP(A58,[2]Sheet12!$A$5:$G$125,2,FALSE)</f>
        <v>152491305.69</v>
      </c>
      <c r="H58" s="41"/>
      <c r="I58" s="42">
        <f t="shared" si="2"/>
        <v>0</v>
      </c>
      <c r="J58" s="41"/>
      <c r="K58" s="42">
        <f t="shared" si="3"/>
        <v>0</v>
      </c>
    </row>
    <row r="59" spans="1:11">
      <c r="A59" s="40" t="s">
        <v>70</v>
      </c>
      <c r="B59" s="43">
        <f>VLOOKUP(A59,[2]ticket_pivot!$A$6:$V$127,2,FALSE)</f>
        <v>8503536.36</v>
      </c>
      <c r="C59" s="43">
        <f>VLOOKUP(A59,[2]ticket_pivot!$A$6:$V$127,3,FALSE)</f>
        <v>8480755.77</v>
      </c>
      <c r="D59" s="44">
        <f t="shared" si="0"/>
        <v>0.997321045146916</v>
      </c>
      <c r="E59" s="43">
        <f>VLOOKUP(A59,[2]ticket_pivot!$A$6:$V$127,4,FALSE)</f>
        <v>8463571.88</v>
      </c>
      <c r="F59" s="44">
        <f t="shared" si="1"/>
        <v>0.997973778461964</v>
      </c>
      <c r="G59" s="43">
        <f>VLOOKUP(A59,[2]Sheet12!$A$5:$G$125,2,FALSE)</f>
        <v>167423919.94</v>
      </c>
      <c r="H59" s="43"/>
      <c r="I59" s="44">
        <f t="shared" si="2"/>
        <v>0</v>
      </c>
      <c r="J59" s="43"/>
      <c r="K59" s="44">
        <f t="shared" si="3"/>
        <v>0</v>
      </c>
    </row>
    <row r="60" spans="1:11">
      <c r="A60" s="40" t="s">
        <v>71</v>
      </c>
      <c r="B60" s="43"/>
      <c r="C60" s="43"/>
      <c r="D60" s="44"/>
      <c r="E60" s="43"/>
      <c r="F60" s="44"/>
      <c r="G60" s="43"/>
      <c r="H60" s="43"/>
      <c r="I60" s="44" t="str">
        <f t="shared" si="2"/>
        <v/>
      </c>
      <c r="J60" s="43"/>
      <c r="K60" s="44" t="str">
        <f t="shared" si="3"/>
        <v/>
      </c>
    </row>
    <row r="61" spans="1:11">
      <c r="A61" s="45" t="s">
        <v>72</v>
      </c>
      <c r="B61" s="46">
        <f>SUM(B56:B60)</f>
        <v>34909601.87</v>
      </c>
      <c r="C61" s="46">
        <f>SUM(C56:C60)</f>
        <v>31602033.63</v>
      </c>
      <c r="D61" s="47">
        <f t="shared" ref="D61:D87" si="4">IFERROR(C61/B61,"")</f>
        <v>0.905253338255845</v>
      </c>
      <c r="E61" s="46">
        <f>SUM(E56:E60)</f>
        <v>31228759.18</v>
      </c>
      <c r="F61" s="47">
        <f t="shared" ref="F61:F87" si="5">IFERROR(E61/C61,"")</f>
        <v>0.988188277552947</v>
      </c>
      <c r="G61" s="46">
        <f>SUM(G56:G60)</f>
        <v>604007139.58</v>
      </c>
      <c r="H61" s="46">
        <f>SUM(H56:H60)</f>
        <v>0</v>
      </c>
      <c r="I61" s="47">
        <f t="shared" si="2"/>
        <v>0</v>
      </c>
      <c r="J61" s="46">
        <f>SUM(J56:J60)</f>
        <v>10668946.8</v>
      </c>
      <c r="K61" s="47">
        <f t="shared" si="3"/>
        <v>0.0176636104126496</v>
      </c>
    </row>
    <row r="62" spans="1:11">
      <c r="A62" s="48" t="s">
        <v>73</v>
      </c>
      <c r="B62" s="49">
        <f>SUM(B61,B55)</f>
        <v>48449616.44</v>
      </c>
      <c r="C62" s="49">
        <f>SUM(C61,C55)</f>
        <v>44635242.39</v>
      </c>
      <c r="D62" s="50">
        <f t="shared" si="4"/>
        <v>0.921271326167799</v>
      </c>
      <c r="E62" s="49">
        <f>SUM(E61,E55)</f>
        <v>43530318.36</v>
      </c>
      <c r="F62" s="50">
        <f t="shared" si="5"/>
        <v>0.975245479337925</v>
      </c>
      <c r="G62" s="49">
        <f>SUM(G61,G55)</f>
        <v>891647088.84</v>
      </c>
      <c r="H62" s="49">
        <f>SUM(H61,H55)</f>
        <v>0</v>
      </c>
      <c r="I62" s="50">
        <f t="shared" si="2"/>
        <v>0</v>
      </c>
      <c r="J62" s="49">
        <f>SUM(J61,J55)</f>
        <v>14982490.67</v>
      </c>
      <c r="K62" s="50">
        <f t="shared" si="3"/>
        <v>0.0168031622124081</v>
      </c>
    </row>
    <row r="63" spans="1:11">
      <c r="A63" s="40" t="s">
        <v>74</v>
      </c>
      <c r="B63" s="41">
        <f>VLOOKUP(A63,[2]ticket_pivot!$A$6:$V$127,2,FALSE)</f>
        <v>1433122.81</v>
      </c>
      <c r="C63" s="41">
        <f>VLOOKUP(A63,[2]ticket_pivot!$A$6:$V$127,3,FALSE)</f>
        <v>1435101.42</v>
      </c>
      <c r="D63" s="42">
        <f t="shared" si="4"/>
        <v>1.00138062836359</v>
      </c>
      <c r="E63" s="41">
        <f>VLOOKUP(A63,[2]ticket_pivot!$A$6:$V$127,4,FALSE)</f>
        <v>1433122.81</v>
      </c>
      <c r="F63" s="42">
        <f t="shared" si="5"/>
        <v>0.998621275143049</v>
      </c>
      <c r="G63" s="41">
        <f>VLOOKUP(A63,[2]Sheet12!$A$5:$G$125,2,FALSE)</f>
        <v>19146358.65</v>
      </c>
      <c r="H63" s="41"/>
      <c r="I63" s="42">
        <f t="shared" si="2"/>
        <v>0</v>
      </c>
      <c r="J63" s="41"/>
      <c r="K63" s="42">
        <f t="shared" si="3"/>
        <v>0</v>
      </c>
    </row>
    <row r="64" spans="1:11">
      <c r="A64" s="40" t="s">
        <v>75</v>
      </c>
      <c r="B64" s="43">
        <f>VLOOKUP(A64,[2]ticket_pivot!$A$6:$V$127,2,FALSE)</f>
        <v>16216590.32</v>
      </c>
      <c r="C64" s="43">
        <f>VLOOKUP(A64,[2]ticket_pivot!$A$6:$V$127,3,FALSE)</f>
        <v>15546262.7</v>
      </c>
      <c r="D64" s="44">
        <f t="shared" si="4"/>
        <v>0.958664083708566</v>
      </c>
      <c r="E64" s="43">
        <f>VLOOKUP(A64,[2]ticket_pivot!$A$6:$V$127,4,FALSE)</f>
        <v>14887001.69</v>
      </c>
      <c r="F64" s="44">
        <f t="shared" si="5"/>
        <v>0.957593601579883</v>
      </c>
      <c r="G64" s="43">
        <f>VLOOKUP(A64,[2]Sheet12!$A$5:$G$125,2,FALSE)</f>
        <v>194591847.91</v>
      </c>
      <c r="H64" s="43"/>
      <c r="I64" s="44">
        <f t="shared" si="2"/>
        <v>0</v>
      </c>
      <c r="J64" s="43">
        <f>VLOOKUP(A64,[2]PAR!$A$5:$H$120,2,FALSE)</f>
        <v>1503462.9</v>
      </c>
      <c r="K64" s="44">
        <f t="shared" si="3"/>
        <v>0.00772623784679491</v>
      </c>
    </row>
    <row r="65" spans="1:11">
      <c r="A65" s="40" t="s">
        <v>76</v>
      </c>
      <c r="B65" s="43">
        <f>VLOOKUP(A65,[2]ticket_pivot!$A$6:$V$127,2,FALSE)</f>
        <v>4891133.34</v>
      </c>
      <c r="C65" s="43">
        <f>VLOOKUP(A65,[2]ticket_pivot!$A$6:$V$127,3,FALSE)</f>
        <v>4719340.55</v>
      </c>
      <c r="D65" s="44">
        <f t="shared" si="4"/>
        <v>0.964876690521792</v>
      </c>
      <c r="E65" s="43">
        <f>VLOOKUP(A65,[2]ticket_pivot!$A$6:$V$127,4,FALSE)</f>
        <v>4711771.66</v>
      </c>
      <c r="F65" s="44">
        <f t="shared" si="5"/>
        <v>0.998396197536539</v>
      </c>
      <c r="G65" s="43">
        <f>VLOOKUP(A65,[2]Sheet12!$A$5:$G$125,2,FALSE)</f>
        <v>58350805.95</v>
      </c>
      <c r="H65" s="43"/>
      <c r="I65" s="44">
        <f t="shared" si="2"/>
        <v>0</v>
      </c>
      <c r="J65" s="43"/>
      <c r="K65" s="44">
        <f t="shared" si="3"/>
        <v>0</v>
      </c>
    </row>
    <row r="66" spans="1:11">
      <c r="A66" s="45" t="s">
        <v>77</v>
      </c>
      <c r="B66" s="46">
        <f>SUM(B63:B65)</f>
        <v>22540846.47</v>
      </c>
      <c r="C66" s="46">
        <f>SUM(C63:C65)</f>
        <v>21700704.67</v>
      </c>
      <c r="D66" s="47">
        <f t="shared" si="4"/>
        <v>0.962728027932839</v>
      </c>
      <c r="E66" s="46">
        <f>SUM(E63:E65)</f>
        <v>21031896.16</v>
      </c>
      <c r="F66" s="47">
        <f t="shared" si="5"/>
        <v>0.969180332151859</v>
      </c>
      <c r="G66" s="46">
        <f>SUM(G63:G65)</f>
        <v>272089012.51</v>
      </c>
      <c r="H66" s="46">
        <f>SUM(H63:H65)</f>
        <v>0</v>
      </c>
      <c r="I66" s="47">
        <f t="shared" si="2"/>
        <v>0</v>
      </c>
      <c r="J66" s="46">
        <f>SUM(J63:J65)</f>
        <v>1503462.9</v>
      </c>
      <c r="K66" s="47">
        <f t="shared" si="3"/>
        <v>0.00552562885994797</v>
      </c>
    </row>
    <row r="67" spans="1:11">
      <c r="A67" s="48" t="s">
        <v>78</v>
      </c>
      <c r="B67" s="49">
        <f>B66</f>
        <v>22540846.47</v>
      </c>
      <c r="C67" s="49">
        <f>C66</f>
        <v>21700704.67</v>
      </c>
      <c r="D67" s="50">
        <f t="shared" si="4"/>
        <v>0.962728027932839</v>
      </c>
      <c r="E67" s="49">
        <f>E66</f>
        <v>21031896.16</v>
      </c>
      <c r="F67" s="50">
        <f t="shared" si="5"/>
        <v>0.969180332151859</v>
      </c>
      <c r="G67" s="49">
        <f>G66</f>
        <v>272089012.51</v>
      </c>
      <c r="H67" s="49">
        <f>H66</f>
        <v>0</v>
      </c>
      <c r="I67" s="50">
        <f t="shared" ref="I67:I130" si="6">IFERROR(H67/G67,"")</f>
        <v>0</v>
      </c>
      <c r="J67" s="49">
        <f>J66</f>
        <v>1503462.9</v>
      </c>
      <c r="K67" s="50">
        <f t="shared" ref="K67:K130" si="7">IFERROR(J67/G67,"")</f>
        <v>0.00552562885994797</v>
      </c>
    </row>
    <row r="68" spans="1:11">
      <c r="A68" s="40" t="s">
        <v>79</v>
      </c>
      <c r="B68" s="41">
        <f>VLOOKUP(A68,[2]ticket_pivot!$A$6:$V$127,2,FALSE)</f>
        <v>6733847.1</v>
      </c>
      <c r="C68" s="41">
        <f>VLOOKUP(A68,[2]ticket_pivot!$A$6:$V$127,3,FALSE)</f>
        <v>6702533.61</v>
      </c>
      <c r="D68" s="42">
        <f t="shared" si="4"/>
        <v>0.995349836499851</v>
      </c>
      <c r="E68" s="41">
        <f>VLOOKUP(A68,[2]ticket_pivot!$A$6:$V$127,4,FALSE)</f>
        <v>6648668.94</v>
      </c>
      <c r="F68" s="42">
        <f t="shared" si="5"/>
        <v>0.991963536009781</v>
      </c>
      <c r="G68" s="41">
        <f>VLOOKUP(A68,[2]Sheet12!$A$5:$G$125,2,FALSE)</f>
        <v>88571427.81</v>
      </c>
      <c r="H68" s="41"/>
      <c r="I68" s="42">
        <f t="shared" si="6"/>
        <v>0</v>
      </c>
      <c r="J68" s="41">
        <f>VLOOKUP(A68,[2]PAR!$A$5:$H$120,2,FALSE)</f>
        <v>423272.47</v>
      </c>
      <c r="K68" s="42">
        <f t="shared" si="7"/>
        <v>0.00477888276688943</v>
      </c>
    </row>
    <row r="69" spans="1:11">
      <c r="A69" s="40" t="s">
        <v>80</v>
      </c>
      <c r="B69" s="43">
        <f>VLOOKUP(A69,[2]ticket_pivot!$A$6:$V$127,2,FALSE)</f>
        <v>12075158.61</v>
      </c>
      <c r="C69" s="43">
        <f>VLOOKUP(A69,[2]ticket_pivot!$A$6:$V$127,3,FALSE)</f>
        <v>10739868.56</v>
      </c>
      <c r="D69" s="44">
        <f t="shared" si="4"/>
        <v>0.88941842561851</v>
      </c>
      <c r="E69" s="43">
        <f>VLOOKUP(A69,[2]ticket_pivot!$A$6:$V$127,4,FALSE)</f>
        <v>10652971.64</v>
      </c>
      <c r="F69" s="44">
        <f t="shared" si="5"/>
        <v>0.991908940084831</v>
      </c>
      <c r="G69" s="43">
        <f>VLOOKUP(A69,[2]Sheet12!$A$5:$G$125,2,FALSE)</f>
        <v>114458092.64</v>
      </c>
      <c r="H69" s="43">
        <f>VLOOKUP(A69,[2]NPL!$A$5:$H$119,2,FALSE)</f>
        <v>635150.73</v>
      </c>
      <c r="I69" s="44">
        <f t="shared" si="6"/>
        <v>0.00554919897186922</v>
      </c>
      <c r="J69" s="43">
        <f>VLOOKUP(A69,[2]PAR!$A$5:$H$120,2,FALSE)</f>
        <v>635150.73</v>
      </c>
      <c r="K69" s="44">
        <f t="shared" si="7"/>
        <v>0.00554919897186922</v>
      </c>
    </row>
    <row r="70" spans="1:11">
      <c r="A70" s="40" t="s">
        <v>81</v>
      </c>
      <c r="B70" s="43">
        <f>VLOOKUP(A70,[2]ticket_pivot!$A$6:$V$127,2,FALSE)</f>
        <v>9837487.38</v>
      </c>
      <c r="C70" s="43">
        <f>VLOOKUP(A70,[2]ticket_pivot!$A$6:$V$127,3,FALSE)</f>
        <v>9881894.9</v>
      </c>
      <c r="D70" s="44">
        <f t="shared" si="4"/>
        <v>1.00451411201709</v>
      </c>
      <c r="E70" s="43">
        <f>VLOOKUP(A70,[2]ticket_pivot!$A$6:$V$127,4,FALSE)</f>
        <v>9837487.38</v>
      </c>
      <c r="F70" s="44">
        <f t="shared" si="5"/>
        <v>0.995506173618584</v>
      </c>
      <c r="G70" s="43">
        <f>VLOOKUP(A70,[2]Sheet12!$A$5:$G$125,2,FALSE)</f>
        <v>110871455.87</v>
      </c>
      <c r="H70" s="43"/>
      <c r="I70" s="44">
        <f t="shared" si="6"/>
        <v>0</v>
      </c>
      <c r="J70" s="43"/>
      <c r="K70" s="44">
        <f t="shared" si="7"/>
        <v>0</v>
      </c>
    </row>
    <row r="71" spans="1:11">
      <c r="A71" s="40" t="s">
        <v>82</v>
      </c>
      <c r="B71" s="41">
        <f>VLOOKUP(A71,[2]ticket_pivot!$A$6:$V$127,2,FALSE)</f>
        <v>6973090.21</v>
      </c>
      <c r="C71" s="41">
        <f>VLOOKUP(A71,[2]ticket_pivot!$A$6:$V$127,3,FALSE)</f>
        <v>6741795.56</v>
      </c>
      <c r="D71" s="42">
        <f t="shared" si="4"/>
        <v>0.966830394698134</v>
      </c>
      <c r="E71" s="41">
        <f>VLOOKUP(A71,[2]ticket_pivot!$A$6:$V$127,4,FALSE)</f>
        <v>6733222.29</v>
      </c>
      <c r="F71" s="42">
        <f t="shared" si="5"/>
        <v>0.998728340258363</v>
      </c>
      <c r="G71" s="41">
        <f>VLOOKUP(A71,[2]Sheet12!$A$5:$G$125,2,FALSE)</f>
        <v>122342770.16</v>
      </c>
      <c r="H71" s="41"/>
      <c r="I71" s="42">
        <f t="shared" si="6"/>
        <v>0</v>
      </c>
      <c r="J71" s="41"/>
      <c r="K71" s="42">
        <f t="shared" si="7"/>
        <v>0</v>
      </c>
    </row>
    <row r="72" spans="1:11">
      <c r="A72" s="45" t="s">
        <v>83</v>
      </c>
      <c r="B72" s="46">
        <f>SUM(B68:B71)</f>
        <v>35619583.3</v>
      </c>
      <c r="C72" s="46">
        <f>SUM(C68:C71)</f>
        <v>34066092.63</v>
      </c>
      <c r="D72" s="47">
        <f t="shared" si="4"/>
        <v>0.956386613034858</v>
      </c>
      <c r="E72" s="46">
        <f>SUM(E68:E71)</f>
        <v>33872350.25</v>
      </c>
      <c r="F72" s="47">
        <f t="shared" si="5"/>
        <v>0.994312750155873</v>
      </c>
      <c r="G72" s="46">
        <f>SUM(G68:G71)</f>
        <v>436243746.48</v>
      </c>
      <c r="H72" s="46">
        <f>SUM(H68:H71)</f>
        <v>635150.73</v>
      </c>
      <c r="I72" s="47">
        <f t="shared" si="6"/>
        <v>0.0014559537761285</v>
      </c>
      <c r="J72" s="46">
        <f>SUM(J68:J71)</f>
        <v>1058423.2</v>
      </c>
      <c r="K72" s="47">
        <f t="shared" si="7"/>
        <v>0.00242621976484544</v>
      </c>
    </row>
    <row r="73" spans="1:11">
      <c r="A73" s="40" t="s">
        <v>84</v>
      </c>
      <c r="B73" s="41">
        <f>VLOOKUP(A73,[2]ticket_pivot!$A$6:$V$127,2,FALSE)</f>
        <v>10241164.54</v>
      </c>
      <c r="C73" s="41">
        <f>VLOOKUP(A73,[2]ticket_pivot!$A$6:$V$127,3,FALSE)</f>
        <v>10253483.01</v>
      </c>
      <c r="D73" s="42">
        <f t="shared" si="4"/>
        <v>1.00120283879356</v>
      </c>
      <c r="E73" s="41">
        <f>VLOOKUP(A73,[2]ticket_pivot!$A$6:$V$127,4,FALSE)</f>
        <v>10241164.54</v>
      </c>
      <c r="F73" s="42">
        <f t="shared" si="5"/>
        <v>0.998798606289397</v>
      </c>
      <c r="G73" s="41">
        <f>VLOOKUP(A73,[2]Sheet12!$A$5:$G$125,2,FALSE)</f>
        <v>140427016.83</v>
      </c>
      <c r="H73" s="41"/>
      <c r="I73" s="42">
        <f t="shared" si="6"/>
        <v>0</v>
      </c>
      <c r="J73" s="41"/>
      <c r="K73" s="42">
        <f t="shared" si="7"/>
        <v>0</v>
      </c>
    </row>
    <row r="74" spans="1:11">
      <c r="A74" s="40" t="s">
        <v>85</v>
      </c>
      <c r="B74" s="43">
        <f>VLOOKUP(A74,[2]ticket_pivot!$A$6:$V$127,2,FALSE)</f>
        <v>17142854.27</v>
      </c>
      <c r="C74" s="43">
        <f>VLOOKUP(A74,[2]ticket_pivot!$A$6:$V$127,3,FALSE)</f>
        <v>16528715.76</v>
      </c>
      <c r="D74" s="44">
        <f t="shared" si="4"/>
        <v>0.964175247579702</v>
      </c>
      <c r="E74" s="43">
        <f>VLOOKUP(A74,[2]ticket_pivot!$A$6:$V$127,4,FALSE)</f>
        <v>16447614.04</v>
      </c>
      <c r="F74" s="44">
        <f t="shared" si="5"/>
        <v>0.995093283641778</v>
      </c>
      <c r="G74" s="43">
        <f>VLOOKUP(A74,[2]Sheet12!$A$5:$G$125,2,FALSE)</f>
        <v>222479409.37</v>
      </c>
      <c r="H74" s="43"/>
      <c r="I74" s="44">
        <f t="shared" si="6"/>
        <v>0</v>
      </c>
      <c r="J74" s="43">
        <f>VLOOKUP(A74,[2]PAR!$A$5:$H$120,2,FALSE)</f>
        <v>1221046.22</v>
      </c>
      <c r="K74" s="44">
        <f t="shared" si="7"/>
        <v>0.00548835608408735</v>
      </c>
    </row>
    <row r="75" spans="1:11">
      <c r="A75" s="45" t="s">
        <v>86</v>
      </c>
      <c r="B75" s="46">
        <f>SUM(B73:B74)</f>
        <v>27384018.81</v>
      </c>
      <c r="C75" s="46">
        <f>SUM(C73:C74)</f>
        <v>26782198.77</v>
      </c>
      <c r="D75" s="47">
        <f t="shared" si="4"/>
        <v>0.978022946734895</v>
      </c>
      <c r="E75" s="46">
        <f>SUM(E73:E74)</f>
        <v>26688778.58</v>
      </c>
      <c r="F75" s="47">
        <f t="shared" si="5"/>
        <v>0.996511855101881</v>
      </c>
      <c r="G75" s="46">
        <f>SUM(G73:G74)</f>
        <v>362906426.2</v>
      </c>
      <c r="H75" s="46">
        <f>SUM(H73:H74)</f>
        <v>0</v>
      </c>
      <c r="I75" s="47">
        <f t="shared" si="6"/>
        <v>0</v>
      </c>
      <c r="J75" s="46">
        <f>SUM(J73:J74)</f>
        <v>1221046.22</v>
      </c>
      <c r="K75" s="47">
        <f t="shared" si="7"/>
        <v>0.00336463102289369</v>
      </c>
    </row>
    <row r="76" spans="1:11">
      <c r="A76" s="48" t="s">
        <v>87</v>
      </c>
      <c r="B76" s="49">
        <f>SUM(B75,B72)</f>
        <v>63003602.11</v>
      </c>
      <c r="C76" s="49">
        <f>SUM(C75,C72)</f>
        <v>60848291.4</v>
      </c>
      <c r="D76" s="50">
        <f t="shared" si="4"/>
        <v>0.965790674853209</v>
      </c>
      <c r="E76" s="49">
        <f>SUM(E75,E72)</f>
        <v>60561128.83</v>
      </c>
      <c r="F76" s="50">
        <f t="shared" si="5"/>
        <v>0.995280679812154</v>
      </c>
      <c r="G76" s="49">
        <f>SUM(G75,G72)</f>
        <v>799150172.68</v>
      </c>
      <c r="H76" s="49">
        <f>SUM(H75,H72)</f>
        <v>635150.73</v>
      </c>
      <c r="I76" s="50">
        <f t="shared" si="6"/>
        <v>0.000794782697562315</v>
      </c>
      <c r="J76" s="49">
        <f>SUM(J75,J72)</f>
        <v>2279469.42</v>
      </c>
      <c r="K76" s="50">
        <f t="shared" si="7"/>
        <v>0.00285236679904061</v>
      </c>
    </row>
    <row r="77" spans="1:11">
      <c r="A77" s="51" t="s">
        <v>88</v>
      </c>
      <c r="B77" s="52">
        <f>SUM(B76,B67,B62)</f>
        <v>133994065.02</v>
      </c>
      <c r="C77" s="52">
        <f>SUM(C76,C67,C62)</f>
        <v>127184238.46</v>
      </c>
      <c r="D77" s="53">
        <f t="shared" si="4"/>
        <v>0.949178147860627</v>
      </c>
      <c r="E77" s="52">
        <f>SUM(E76,E67,E62)</f>
        <v>125123343.35</v>
      </c>
      <c r="F77" s="53">
        <f t="shared" si="5"/>
        <v>0.983795986554984</v>
      </c>
      <c r="G77" s="52">
        <f>SUM(G76,G67,G62)</f>
        <v>1962886274.03</v>
      </c>
      <c r="H77" s="52">
        <f>SUM(H76,H67,H62)</f>
        <v>635150.73</v>
      </c>
      <c r="I77" s="53">
        <f t="shared" si="6"/>
        <v>0.000323579994624942</v>
      </c>
      <c r="J77" s="52">
        <f>SUM(J76,J67,J62)</f>
        <v>18765422.99</v>
      </c>
      <c r="K77" s="53">
        <f t="shared" si="7"/>
        <v>0.00956011728151358</v>
      </c>
    </row>
    <row r="78" spans="1:11">
      <c r="A78" s="40" t="s">
        <v>89</v>
      </c>
      <c r="B78" s="43">
        <f>VLOOKUP(A78,[2]ticket_pivot!$A$6:$V$127,2,FALSE)</f>
        <v>14997076.27</v>
      </c>
      <c r="C78" s="43">
        <f>VLOOKUP(A78,[2]ticket_pivot!$A$6:$V$127,3,FALSE)</f>
        <v>14981308.51</v>
      </c>
      <c r="D78" s="44">
        <f t="shared" si="4"/>
        <v>0.998948611068176</v>
      </c>
      <c r="E78" s="43">
        <f>VLOOKUP(A78,[2]ticket_pivot!$A$6:$V$127,4,FALSE)</f>
        <v>14814362.52</v>
      </c>
      <c r="F78" s="44">
        <f t="shared" si="5"/>
        <v>0.988856381277473</v>
      </c>
      <c r="G78" s="43">
        <f>VLOOKUP(A78,[2]Sheet12!$A$5:$G$125,2,FALSE)</f>
        <v>146365975.45</v>
      </c>
      <c r="H78" s="43"/>
      <c r="I78" s="44">
        <f t="shared" si="6"/>
        <v>0</v>
      </c>
      <c r="J78" s="43"/>
      <c r="K78" s="44">
        <f t="shared" si="7"/>
        <v>0</v>
      </c>
    </row>
    <row r="79" spans="1:11">
      <c r="A79" s="40" t="s">
        <v>90</v>
      </c>
      <c r="B79" s="41">
        <f>VLOOKUP(A79,[2]ticket_pivot!$A$6:$V$127,2,FALSE)</f>
        <v>8520939.37</v>
      </c>
      <c r="C79" s="41">
        <f>VLOOKUP(A79,[2]ticket_pivot!$A$6:$V$127,3,FALSE)</f>
        <v>8526111.9</v>
      </c>
      <c r="D79" s="42">
        <f t="shared" si="4"/>
        <v>1.00060703753136</v>
      </c>
      <c r="E79" s="41">
        <f>VLOOKUP(A79,[2]ticket_pivot!$A$6:$V$127,4,FALSE)</f>
        <v>8520939.37</v>
      </c>
      <c r="F79" s="42">
        <f t="shared" si="5"/>
        <v>0.999393330739655</v>
      </c>
      <c r="G79" s="41">
        <f>VLOOKUP(A79,[2]Sheet12!$A$5:$G$125,2,FALSE)</f>
        <v>106569661.64</v>
      </c>
      <c r="H79" s="41"/>
      <c r="I79" s="42">
        <f t="shared" si="6"/>
        <v>0</v>
      </c>
      <c r="J79" s="41"/>
      <c r="K79" s="42">
        <f t="shared" si="7"/>
        <v>0</v>
      </c>
    </row>
    <row r="80" spans="1:11">
      <c r="A80" s="40" t="s">
        <v>91</v>
      </c>
      <c r="B80" s="43">
        <f>VLOOKUP(A80,[2]ticket_pivot!$A$6:$V$127,2,FALSE)</f>
        <v>39647415.4</v>
      </c>
      <c r="C80" s="43">
        <f>VLOOKUP(A80,[2]ticket_pivot!$A$6:$V$127,3,FALSE)</f>
        <v>27760178.91</v>
      </c>
      <c r="D80" s="44">
        <f t="shared" si="4"/>
        <v>0.700176256886597</v>
      </c>
      <c r="E80" s="43">
        <f>VLOOKUP(A80,[2]ticket_pivot!$A$6:$V$127,4,FALSE)</f>
        <v>27700488.02</v>
      </c>
      <c r="F80" s="44">
        <f t="shared" si="5"/>
        <v>0.997849765659165</v>
      </c>
      <c r="G80" s="43">
        <f>VLOOKUP(A80,[2]Sheet12!$A$5:$G$125,2,FALSE)</f>
        <v>245457946.55</v>
      </c>
      <c r="H80" s="43">
        <f>VLOOKUP(A80,[2]NPL!$A$5:$H$119,2,FALSE)</f>
        <v>3992796.94</v>
      </c>
      <c r="I80" s="44">
        <f t="shared" si="6"/>
        <v>0.0162667250994323</v>
      </c>
      <c r="J80" s="43">
        <f>VLOOKUP(A80,[2]PAR!$A$5:$H$120,2,FALSE)</f>
        <v>3992796.94</v>
      </c>
      <c r="K80" s="44">
        <f t="shared" si="7"/>
        <v>0.0162667250994323</v>
      </c>
    </row>
    <row r="81" spans="1:11">
      <c r="A81" s="40" t="s">
        <v>92</v>
      </c>
      <c r="B81" s="43">
        <f>VLOOKUP(A81,[2]ticket_pivot!$A$6:$V$127,2,FALSE)</f>
        <v>38642633.14</v>
      </c>
      <c r="C81" s="43">
        <f>VLOOKUP(A81,[2]ticket_pivot!$A$6:$V$127,3,FALSE)</f>
        <v>21336815.57</v>
      </c>
      <c r="D81" s="44">
        <f t="shared" si="4"/>
        <v>0.552157392916212</v>
      </c>
      <c r="E81" s="43">
        <f>VLOOKUP(A81,[2]ticket_pivot!$A$6:$V$127,4,FALSE)</f>
        <v>21313868.48</v>
      </c>
      <c r="F81" s="44">
        <f t="shared" si="5"/>
        <v>0.998924530704935</v>
      </c>
      <c r="G81" s="43">
        <f>VLOOKUP(A81,[2]Sheet12!$A$5:$G$125,2,FALSE)</f>
        <v>269828979.91</v>
      </c>
      <c r="H81" s="43"/>
      <c r="I81" s="44">
        <f t="shared" si="6"/>
        <v>0</v>
      </c>
      <c r="J81" s="43">
        <f>VLOOKUP(A81,[2]PAR!$A$5:$H$120,2,FALSE)</f>
        <v>1414301.24</v>
      </c>
      <c r="K81" s="44">
        <f t="shared" si="7"/>
        <v>0.00524147273014089</v>
      </c>
    </row>
    <row r="82" spans="1:11">
      <c r="A82" s="45" t="s">
        <v>93</v>
      </c>
      <c r="B82" s="46">
        <f>SUM(B78:B81)</f>
        <v>101808064.18</v>
      </c>
      <c r="C82" s="46">
        <f>SUM(C78:C81)</f>
        <v>72604414.89</v>
      </c>
      <c r="D82" s="47">
        <f t="shared" si="4"/>
        <v>0.713149940280104</v>
      </c>
      <c r="E82" s="46">
        <f>SUM(E78:E81)</f>
        <v>72349658.39</v>
      </c>
      <c r="F82" s="47">
        <f t="shared" si="5"/>
        <v>0.996491170676247</v>
      </c>
      <c r="G82" s="46">
        <f>SUM(G78:G81)</f>
        <v>768222563.55</v>
      </c>
      <c r="H82" s="46">
        <f>SUM(H78:H81)</f>
        <v>3992796.94</v>
      </c>
      <c r="I82" s="47">
        <f t="shared" si="6"/>
        <v>0.00519744814777251</v>
      </c>
      <c r="J82" s="46">
        <f>SUM(J78:J81)</f>
        <v>5407098.18</v>
      </c>
      <c r="K82" s="47">
        <f t="shared" si="7"/>
        <v>0.00703845270440052</v>
      </c>
    </row>
    <row r="83" spans="1:11">
      <c r="A83" s="40" t="s">
        <v>94</v>
      </c>
      <c r="B83" s="43">
        <f>VLOOKUP(A83,[2]ticket_pivot!$A$6:$V$127,2,FALSE)</f>
        <v>23462904.95</v>
      </c>
      <c r="C83" s="43">
        <f>VLOOKUP(A83,[2]ticket_pivot!$A$6:$V$127,3,FALSE)</f>
        <v>14822786.7</v>
      </c>
      <c r="D83" s="44">
        <f t="shared" si="4"/>
        <v>0.631754112783038</v>
      </c>
      <c r="E83" s="43">
        <f>VLOOKUP(A83,[2]ticket_pivot!$A$6:$V$127,4,FALSE)</f>
        <v>14698075.5</v>
      </c>
      <c r="F83" s="44">
        <f t="shared" si="5"/>
        <v>0.991586521311812</v>
      </c>
      <c r="G83" s="43">
        <f>VLOOKUP(A83,[2]Sheet12!$A$5:$G$125,2,FALSE)</f>
        <v>156530523.87</v>
      </c>
      <c r="H83" s="43"/>
      <c r="I83" s="44">
        <f t="shared" si="6"/>
        <v>0</v>
      </c>
      <c r="J83" s="43">
        <f>VLOOKUP(A83,[2]PAR!$A$5:$H$120,2,FALSE)</f>
        <v>1464195.41</v>
      </c>
      <c r="K83" s="44">
        <f t="shared" si="7"/>
        <v>0.00935405679224601</v>
      </c>
    </row>
    <row r="84" spans="1:11">
      <c r="A84" s="40" t="s">
        <v>95</v>
      </c>
      <c r="B84" s="43">
        <f>VLOOKUP(A84,[2]ticket_pivot!$A$6:$V$127,2,FALSE)</f>
        <v>12082543.96</v>
      </c>
      <c r="C84" s="43">
        <f>VLOOKUP(A84,[2]ticket_pivot!$A$6:$V$127,3,FALSE)</f>
        <v>10280113.47</v>
      </c>
      <c r="D84" s="44">
        <f t="shared" si="4"/>
        <v>0.850823593444637</v>
      </c>
      <c r="E84" s="43">
        <f>VLOOKUP(A84,[2]ticket_pivot!$A$6:$V$127,4,FALSE)</f>
        <v>10270351.08</v>
      </c>
      <c r="F84" s="44">
        <f t="shared" si="5"/>
        <v>0.999050361649365</v>
      </c>
      <c r="G84" s="43">
        <f>VLOOKUP(A84,[2]Sheet12!$A$5:$G$125,2,FALSE)</f>
        <v>137494059.69</v>
      </c>
      <c r="H84" s="43"/>
      <c r="I84" s="44">
        <f t="shared" si="6"/>
        <v>0</v>
      </c>
      <c r="J84" s="43"/>
      <c r="K84" s="44">
        <f t="shared" si="7"/>
        <v>0</v>
      </c>
    </row>
    <row r="85" spans="1:11">
      <c r="A85" s="45" t="s">
        <v>96</v>
      </c>
      <c r="B85" s="46">
        <f>SUM(B83:B84)</f>
        <v>35545448.91</v>
      </c>
      <c r="C85" s="46">
        <f>SUM(C83:C84)</f>
        <v>25102900.17</v>
      </c>
      <c r="D85" s="47">
        <f t="shared" si="4"/>
        <v>0.70621980984288</v>
      </c>
      <c r="E85" s="46">
        <f>SUM(E83:E84)</f>
        <v>24968426.58</v>
      </c>
      <c r="F85" s="47">
        <f t="shared" si="5"/>
        <v>0.994643105414541</v>
      </c>
      <c r="G85" s="46">
        <f>SUM(G83:G84)</f>
        <v>294024583.56</v>
      </c>
      <c r="H85" s="46">
        <f>SUM(H83:H84)</f>
        <v>0</v>
      </c>
      <c r="I85" s="47">
        <f t="shared" si="6"/>
        <v>0</v>
      </c>
      <c r="J85" s="46">
        <f>SUM(J83:J84)</f>
        <v>1464195.41</v>
      </c>
      <c r="K85" s="47">
        <f t="shared" si="7"/>
        <v>0.00497984009456546</v>
      </c>
    </row>
    <row r="86" spans="1:11">
      <c r="A86" s="40" t="s">
        <v>97</v>
      </c>
      <c r="B86" s="41">
        <f>VLOOKUP(A86,[2]ticket_pivot!$A$4:$V$127,2,FALSE)</f>
        <v>13612680.32</v>
      </c>
      <c r="C86" s="41">
        <f>VLOOKUP(A86,[2]ticket_pivot!$A$6:$V$127,3,FALSE)</f>
        <v>11764222.11</v>
      </c>
      <c r="D86" s="42">
        <f t="shared" si="4"/>
        <v>0.864210562023982</v>
      </c>
      <c r="E86" s="41">
        <f>VLOOKUP(A86,[2]ticket_pivot!$A$6:$V$127,4,FALSE)</f>
        <v>11748981.84</v>
      </c>
      <c r="F86" s="42">
        <f t="shared" si="5"/>
        <v>0.998704523779176</v>
      </c>
      <c r="G86" s="41">
        <f>VLOOKUP(A86,[2]Sheet12!$A$5:$G$125,2,FALSE)</f>
        <v>178668007.58</v>
      </c>
      <c r="H86" s="41"/>
      <c r="I86" s="42">
        <f t="shared" si="6"/>
        <v>0</v>
      </c>
      <c r="J86" s="41">
        <f>VLOOKUP(A86,[2]PAR!$A$5:$H$120,2,FALSE)</f>
        <v>5766848.68</v>
      </c>
      <c r="K86" s="42">
        <f t="shared" si="7"/>
        <v>0.0322768958926116</v>
      </c>
    </row>
    <row r="87" spans="1:11">
      <c r="A87" s="40" t="s">
        <v>98</v>
      </c>
      <c r="B87" s="41">
        <f>VLOOKUP(A87,[2]ticket_pivot!$A$4:$V$127,2,FALSE)</f>
        <v>6221769.09</v>
      </c>
      <c r="C87" s="41">
        <f>VLOOKUP(A87,[2]ticket_pivot!$A$6:$V$127,3,FALSE)</f>
        <v>5975413.22</v>
      </c>
      <c r="D87" s="42">
        <f t="shared" si="4"/>
        <v>0.960404208765003</v>
      </c>
      <c r="E87" s="41">
        <f>VLOOKUP(A87,[2]ticket_pivot!$A$6:$V$127,4,FALSE)</f>
        <v>5969090.73</v>
      </c>
      <c r="F87" s="42">
        <f t="shared" si="5"/>
        <v>0.998941915852976</v>
      </c>
      <c r="G87" s="41">
        <f>VLOOKUP(A87,[2]Sheet12!$A$5:$G$125,2,FALSE)</f>
        <v>102502026.83</v>
      </c>
      <c r="H87" s="41"/>
      <c r="I87" s="42">
        <f t="shared" si="6"/>
        <v>0</v>
      </c>
      <c r="J87" s="41"/>
      <c r="K87" s="42">
        <f t="shared" si="7"/>
        <v>0</v>
      </c>
    </row>
    <row r="88" spans="1:11">
      <c r="A88" s="40" t="s">
        <v>99</v>
      </c>
      <c r="B88" s="43"/>
      <c r="C88" s="43"/>
      <c r="D88" s="44"/>
      <c r="E88" s="43"/>
      <c r="F88" s="44"/>
      <c r="G88" s="43"/>
      <c r="H88" s="43"/>
      <c r="I88" s="44" t="str">
        <f t="shared" si="6"/>
        <v/>
      </c>
      <c r="J88" s="43"/>
      <c r="K88" s="44" t="str">
        <f t="shared" si="7"/>
        <v/>
      </c>
    </row>
    <row r="89" spans="1:11">
      <c r="A89" s="45" t="s">
        <v>100</v>
      </c>
      <c r="B89" s="46">
        <f>SUM(B86:B88)</f>
        <v>19834449.41</v>
      </c>
      <c r="C89" s="46">
        <f>SUM(C86:C88)</f>
        <v>17739635.33</v>
      </c>
      <c r="D89" s="47">
        <f t="shared" ref="D89:D152" si="8">IFERROR(C89/B89,"")</f>
        <v>0.894385065262066</v>
      </c>
      <c r="E89" s="46">
        <f>SUM(E86:E88)</f>
        <v>17718072.57</v>
      </c>
      <c r="F89" s="47">
        <f t="shared" ref="F89:F152" si="9">IFERROR(E89/C89,"")</f>
        <v>0.998784486851117</v>
      </c>
      <c r="G89" s="46">
        <f>SUM(G86:G88)</f>
        <v>281170034.41</v>
      </c>
      <c r="H89" s="46">
        <f>SUM(H86:H88)</f>
        <v>0</v>
      </c>
      <c r="I89" s="47">
        <f t="shared" si="6"/>
        <v>0</v>
      </c>
      <c r="J89" s="46">
        <f>SUM(J86:J88)</f>
        <v>5766848.68</v>
      </c>
      <c r="K89" s="47">
        <f t="shared" si="7"/>
        <v>0.0205101823602967</v>
      </c>
    </row>
    <row r="90" spans="1:11">
      <c r="A90" s="48" t="s">
        <v>101</v>
      </c>
      <c r="B90" s="49">
        <f>SUM(B89,B85,B82)</f>
        <v>157187962.5</v>
      </c>
      <c r="C90" s="49">
        <f>SUM(C89,C85,C82)</f>
        <v>115446950.39</v>
      </c>
      <c r="D90" s="50">
        <f t="shared" si="8"/>
        <v>0.734451598925713</v>
      </c>
      <c r="E90" s="49">
        <f>SUM(E89,E85,E82)</f>
        <v>115036157.54</v>
      </c>
      <c r="F90" s="50">
        <f t="shared" si="9"/>
        <v>0.996441717614781</v>
      </c>
      <c r="G90" s="49">
        <f>SUM(G89,G85,G82)</f>
        <v>1343417181.52</v>
      </c>
      <c r="H90" s="49">
        <f>SUM(H89,H85,H82)</f>
        <v>3992796.94</v>
      </c>
      <c r="I90" s="50">
        <f t="shared" si="6"/>
        <v>0.00297211990059735</v>
      </c>
      <c r="J90" s="49">
        <f>SUM(J89,J85,J82)</f>
        <v>12638142.27</v>
      </c>
      <c r="K90" s="50">
        <f t="shared" si="7"/>
        <v>0.00940745916000617</v>
      </c>
    </row>
    <row r="91" spans="1:11">
      <c r="A91" s="40" t="s">
        <v>102</v>
      </c>
      <c r="B91" s="41">
        <f>VLOOKUP(A91,[2]ticket_pivot!$A$4:$V$127,2,FALSE)</f>
        <v>10864751.84</v>
      </c>
      <c r="C91" s="41">
        <f>VLOOKUP(A91,[2]ticket_pivot!$A$4:$V$127,3,FALSE)</f>
        <v>9398521.72</v>
      </c>
      <c r="D91" s="42">
        <f t="shared" si="8"/>
        <v>0.865047067655804</v>
      </c>
      <c r="E91" s="41">
        <f>VLOOKUP(A91,[2]ticket_pivot!$A$4:$V$127,4,FALSE)</f>
        <v>9377547.94</v>
      </c>
      <c r="F91" s="42">
        <f t="shared" si="9"/>
        <v>0.997768395857897</v>
      </c>
      <c r="G91" s="41">
        <f>VLOOKUP(A91,[2]Sheet12!$A$4:$G$125,2,FALSE)</f>
        <v>116930488.35</v>
      </c>
      <c r="H91" s="41">
        <f>VLOOKUP(A91,[2]NPL!$A$4:$H$119,2,FALSE)</f>
        <v>1821800.82</v>
      </c>
      <c r="I91" s="42">
        <f t="shared" si="6"/>
        <v>0.0155802036381387</v>
      </c>
      <c r="J91" s="41">
        <f>VLOOKUP(A91,[2]PAR!$A$4:$H$120,2,FALSE)</f>
        <v>1821800.82</v>
      </c>
      <c r="K91" s="42">
        <f t="shared" si="7"/>
        <v>0.0155802036381387</v>
      </c>
    </row>
    <row r="92" spans="1:11">
      <c r="A92" s="40" t="s">
        <v>103</v>
      </c>
      <c r="B92" s="43">
        <f>VLOOKUP(A92,[2]ticket_pivot!$A$6:$V$127,2,FALSE)</f>
        <v>10254447.8</v>
      </c>
      <c r="C92" s="43">
        <f>VLOOKUP(A92,[2]ticket_pivot!$A$6:$V$127,3,FALSE)</f>
        <v>10157745.82</v>
      </c>
      <c r="D92" s="44">
        <f t="shared" si="8"/>
        <v>0.990569752571172</v>
      </c>
      <c r="E92" s="43">
        <f>VLOOKUP(A92,[2]ticket_pivot!$A$6:$V$127,4,FALSE)</f>
        <v>9939889.3</v>
      </c>
      <c r="F92" s="44">
        <f t="shared" si="9"/>
        <v>0.978552670655427</v>
      </c>
      <c r="G92" s="43">
        <f>VLOOKUP(A92,[2]Sheet12!$A$5:$G$125,2,FALSE)</f>
        <v>140297485.06</v>
      </c>
      <c r="H92" s="43"/>
      <c r="I92" s="44">
        <f t="shared" si="6"/>
        <v>0</v>
      </c>
      <c r="J92" s="43">
        <f>VLOOKUP(A92,[2]PAR!$A$5:$H$120,2,FALSE)</f>
        <v>905925.4</v>
      </c>
      <c r="K92" s="44">
        <f t="shared" si="7"/>
        <v>0.00645717490668182</v>
      </c>
    </row>
    <row r="93" spans="1:11">
      <c r="A93" s="40" t="s">
        <v>104</v>
      </c>
      <c r="B93" s="43">
        <f>VLOOKUP(A93,[2]ticket_pivot!$A$6:$V$127,2,FALSE)</f>
        <v>5747868.53</v>
      </c>
      <c r="C93" s="43">
        <f>VLOOKUP(A93,[2]ticket_pivot!$A$6:$V$127,3,FALSE)</f>
        <v>4769688.34</v>
      </c>
      <c r="D93" s="44">
        <f t="shared" si="8"/>
        <v>0.82981862147776</v>
      </c>
      <c r="E93" s="43">
        <f>VLOOKUP(A93,[2]ticket_pivot!$A$6:$V$127,4,FALSE)</f>
        <v>4551741.48</v>
      </c>
      <c r="F93" s="44">
        <f t="shared" si="9"/>
        <v>0.954305848838752</v>
      </c>
      <c r="G93" s="43">
        <f>VLOOKUP(A93,[2]Sheet12!$A$5:$G$125,2,FALSE)</f>
        <v>66845803.66</v>
      </c>
      <c r="H93" s="43"/>
      <c r="I93" s="44">
        <f t="shared" si="6"/>
        <v>0</v>
      </c>
      <c r="J93" s="43">
        <f>VLOOKUP(A93,[2]PAR!$A$5:$H$120,2,FALSE)</f>
        <v>4736867.29</v>
      </c>
      <c r="K93" s="44">
        <f t="shared" si="7"/>
        <v>0.0708625976597317</v>
      </c>
    </row>
    <row r="94" spans="1:11">
      <c r="A94" s="45" t="s">
        <v>105</v>
      </c>
      <c r="B94" s="46">
        <f>SUM(B91:B93)</f>
        <v>26867068.17</v>
      </c>
      <c r="C94" s="46">
        <f>SUM(C91:C93)</f>
        <v>24325955.88</v>
      </c>
      <c r="D94" s="47">
        <f t="shared" si="8"/>
        <v>0.905419070144861</v>
      </c>
      <c r="E94" s="46">
        <f>SUM(E91:E93)</f>
        <v>23869178.72</v>
      </c>
      <c r="F94" s="47">
        <f t="shared" si="9"/>
        <v>0.981222642914701</v>
      </c>
      <c r="G94" s="46">
        <f>SUM(G91:G93)</f>
        <v>324073777.07</v>
      </c>
      <c r="H94" s="46">
        <f>SUM(H91:H93)</f>
        <v>1821800.82</v>
      </c>
      <c r="I94" s="47">
        <f t="shared" si="6"/>
        <v>0.00562156196799129</v>
      </c>
      <c r="J94" s="46">
        <f>SUM(J91:J93)</f>
        <v>7464593.51</v>
      </c>
      <c r="K94" s="47">
        <f t="shared" si="7"/>
        <v>0.0230336239404759</v>
      </c>
    </row>
    <row r="95" spans="1:11">
      <c r="A95" s="40" t="s">
        <v>106</v>
      </c>
      <c r="B95" s="41">
        <f>VLOOKUP(A95,[2]ticket_pivot!$A$6:$V$127,2,FALSE)</f>
        <v>4364067.35</v>
      </c>
      <c r="C95" s="41">
        <f>VLOOKUP(A95,[2]ticket_pivot!$A$6:$V$127,3,FALSE)</f>
        <v>4074406.03</v>
      </c>
      <c r="D95" s="42">
        <f t="shared" si="8"/>
        <v>0.933625836457359</v>
      </c>
      <c r="E95" s="41">
        <f>VLOOKUP(A95,[2]ticket_pivot!$A$6:$V$127,4,FALSE)</f>
        <v>4070117.85</v>
      </c>
      <c r="F95" s="42">
        <f t="shared" si="9"/>
        <v>0.998947532482422</v>
      </c>
      <c r="G95" s="41">
        <f>VLOOKUP(A95,[2]Sheet12!$A$5:$G$125,2,FALSE)</f>
        <v>58680805.05</v>
      </c>
      <c r="H95" s="41"/>
      <c r="I95" s="42">
        <f t="shared" si="6"/>
        <v>0</v>
      </c>
      <c r="J95" s="41"/>
      <c r="K95" s="42">
        <f t="shared" si="7"/>
        <v>0</v>
      </c>
    </row>
    <row r="96" spans="1:11">
      <c r="A96" s="40" t="s">
        <v>107</v>
      </c>
      <c r="B96" s="41">
        <f>VLOOKUP(A96,[2]ticket_pivot!$A$6:$V$127,2,FALSE)</f>
        <v>4265228.32</v>
      </c>
      <c r="C96" s="41">
        <f>VLOOKUP(A96,[2]ticket_pivot!$A$6:$V$127,3,FALSE)</f>
        <v>4111553.57</v>
      </c>
      <c r="D96" s="42">
        <f t="shared" si="8"/>
        <v>0.963970334418111</v>
      </c>
      <c r="E96" s="41">
        <f>VLOOKUP(A96,[2]ticket_pivot!$A$6:$V$127,4,FALSE)</f>
        <v>4084221.87</v>
      </c>
      <c r="F96" s="42">
        <f t="shared" si="9"/>
        <v>0.9933524640906</v>
      </c>
      <c r="G96" s="41">
        <f>VLOOKUP(A96,[2]Sheet12!$A$5:$G$125,2,FALSE)</f>
        <v>48416598.47</v>
      </c>
      <c r="H96" s="41"/>
      <c r="I96" s="42">
        <f t="shared" si="6"/>
        <v>0</v>
      </c>
      <c r="J96" s="41">
        <f>VLOOKUP(A96,[2]PAR!$A$5:$H$120,2,FALSE)</f>
        <v>437405.22</v>
      </c>
      <c r="K96" s="42">
        <f t="shared" si="7"/>
        <v>0.00903419971295641</v>
      </c>
    </row>
    <row r="97" spans="1:11">
      <c r="A97" s="40" t="s">
        <v>108</v>
      </c>
      <c r="B97" s="43">
        <f>VLOOKUP(A97,[2]ticket_pivot!$A$6:$V$127,2,FALSE)</f>
        <v>12544355.8</v>
      </c>
      <c r="C97" s="43">
        <f>VLOOKUP(A97,[2]ticket_pivot!$A$6:$V$127,3,FALSE)</f>
        <v>9901771.39</v>
      </c>
      <c r="D97" s="44">
        <f t="shared" si="8"/>
        <v>0.789340763915513</v>
      </c>
      <c r="E97" s="43">
        <f>VLOOKUP(A97,[2]ticket_pivot!$A$6:$V$127,4,FALSE)</f>
        <v>9812855.86</v>
      </c>
      <c r="F97" s="44">
        <f t="shared" si="9"/>
        <v>0.991020240066359</v>
      </c>
      <c r="G97" s="43">
        <f>VLOOKUP(A97,[2]Sheet12!$A$5:$G$125,2,FALSE)</f>
        <v>139310133.65</v>
      </c>
      <c r="H97" s="43">
        <f>VLOOKUP(A97,[2]NPL!$A$5:$H$119,2,FALSE)</f>
        <v>608455.53</v>
      </c>
      <c r="I97" s="44">
        <f t="shared" si="6"/>
        <v>0.00436763295000974</v>
      </c>
      <c r="J97" s="43">
        <f>VLOOKUP(A97,[2]PAR!$A$5:$H$120,2,FALSE)</f>
        <v>9479963.82</v>
      </c>
      <c r="K97" s="44">
        <f t="shared" si="7"/>
        <v>0.0680493483971329</v>
      </c>
    </row>
    <row r="98" spans="1:11">
      <c r="A98" s="45" t="s">
        <v>109</v>
      </c>
      <c r="B98" s="46">
        <f>SUM(B95:B97)</f>
        <v>21173651.47</v>
      </c>
      <c r="C98" s="46">
        <f>SUM(C95:C97)</f>
        <v>18087730.99</v>
      </c>
      <c r="D98" s="47">
        <f t="shared" si="8"/>
        <v>0.854256575235863</v>
      </c>
      <c r="E98" s="46">
        <f>SUM(E95:E97)</f>
        <v>17967195.58</v>
      </c>
      <c r="F98" s="47">
        <f t="shared" si="9"/>
        <v>0.993336067964156</v>
      </c>
      <c r="G98" s="46">
        <f>SUM(G95:G97)</f>
        <v>246407537.17</v>
      </c>
      <c r="H98" s="46">
        <f>SUM(H95:H97)</f>
        <v>608455.53</v>
      </c>
      <c r="I98" s="47">
        <f t="shared" si="6"/>
        <v>0.00246930567541941</v>
      </c>
      <c r="J98" s="46">
        <f>SUM(J95:J97)</f>
        <v>9917369.04</v>
      </c>
      <c r="K98" s="47">
        <f t="shared" si="7"/>
        <v>0.0402478315148204</v>
      </c>
    </row>
    <row r="99" spans="1:11">
      <c r="A99" s="48" t="s">
        <v>110</v>
      </c>
      <c r="B99" s="49">
        <f>SUM(B98,B94)</f>
        <v>48040719.64</v>
      </c>
      <c r="C99" s="49">
        <f>SUM(C98,C94)</f>
        <v>42413686.87</v>
      </c>
      <c r="D99" s="50">
        <f t="shared" si="8"/>
        <v>0.882869515440922</v>
      </c>
      <c r="E99" s="49">
        <f>SUM(E98,E94)</f>
        <v>41836374.3</v>
      </c>
      <c r="F99" s="50">
        <f t="shared" si="9"/>
        <v>0.986388531330241</v>
      </c>
      <c r="G99" s="49">
        <f>SUM(G98,G94)</f>
        <v>570481314.24</v>
      </c>
      <c r="H99" s="49">
        <f>SUM(H98,H94)</f>
        <v>2430256.35</v>
      </c>
      <c r="I99" s="50">
        <f t="shared" si="6"/>
        <v>0.00426001043213415</v>
      </c>
      <c r="J99" s="49">
        <f>SUM(J98,J94)</f>
        <v>17381962.55</v>
      </c>
      <c r="K99" s="50">
        <f t="shared" si="7"/>
        <v>0.0304689428314692</v>
      </c>
    </row>
    <row r="100" spans="1:11">
      <c r="A100" s="40" t="s">
        <v>111</v>
      </c>
      <c r="B100" s="43">
        <f>VLOOKUP(A100,[2]ticket_pivot!$A$6:$V$127,2,FALSE)</f>
        <v>7552658.77</v>
      </c>
      <c r="C100" s="43">
        <f>VLOOKUP(A100,[2]ticket_pivot!$A$6:$V$127,3,FALSE)</f>
        <v>7024015.75</v>
      </c>
      <c r="D100" s="44">
        <f t="shared" si="8"/>
        <v>0.930005705792002</v>
      </c>
      <c r="E100" s="43">
        <f>VLOOKUP(A100,[2]ticket_pivot!$A$6:$V$127,4,FALSE)</f>
        <v>6982924.58</v>
      </c>
      <c r="F100" s="44">
        <f t="shared" si="9"/>
        <v>0.994149903493596</v>
      </c>
      <c r="G100" s="43">
        <f>VLOOKUP(A100,[2]Sheet12!$A$5:$G$125,2,FALSE)</f>
        <v>127129772.49</v>
      </c>
      <c r="H100" s="43"/>
      <c r="I100" s="44">
        <f t="shared" si="6"/>
        <v>0</v>
      </c>
      <c r="J100" s="43">
        <f>VLOOKUP(A100,[2]PAR!$A$5:$H$120,2,FALSE)</f>
        <v>752240.07</v>
      </c>
      <c r="K100" s="44">
        <f t="shared" si="7"/>
        <v>0.00591710387949582</v>
      </c>
    </row>
    <row r="101" spans="1:11">
      <c r="A101" s="40" t="s">
        <v>112</v>
      </c>
      <c r="B101" s="41">
        <f>VLOOKUP(A101,[2]ticket_pivot!$A$6:$V$127,2,FALSE)</f>
        <v>17178613.75</v>
      </c>
      <c r="C101" s="41">
        <f>VLOOKUP(A101,[2]ticket_pivot!$A$6:$V$127,3,FALSE)</f>
        <v>15406048.57</v>
      </c>
      <c r="D101" s="42">
        <f t="shared" si="8"/>
        <v>0.896815586764094</v>
      </c>
      <c r="E101" s="41">
        <f>VLOOKUP(A101,[2]ticket_pivot!$A$6:$V$127,4,FALSE)</f>
        <v>15331026.13</v>
      </c>
      <c r="F101" s="42">
        <f t="shared" si="9"/>
        <v>0.995130325621192</v>
      </c>
      <c r="G101" s="41">
        <f>VLOOKUP(A101,[2]Sheet12!$A$5:$G$125,2,FALSE)</f>
        <v>307699172.16</v>
      </c>
      <c r="H101" s="41"/>
      <c r="I101" s="42">
        <f t="shared" si="6"/>
        <v>0</v>
      </c>
      <c r="J101" s="41">
        <f>VLOOKUP(A101,[2]PAR!$A$5:$H$120,2,FALSE)</f>
        <v>12060734.34</v>
      </c>
      <c r="K101" s="42">
        <f t="shared" si="7"/>
        <v>0.0391965121496283</v>
      </c>
    </row>
    <row r="102" spans="1:11">
      <c r="A102" s="40" t="s">
        <v>113</v>
      </c>
      <c r="B102" s="43">
        <f>VLOOKUP(A102,[2]ticket_pivot!$A$6:$V$127,2,FALSE)</f>
        <v>8792359.42</v>
      </c>
      <c r="C102" s="43">
        <f>VLOOKUP(A102,[2]ticket_pivot!$A$6:$V$127,3,FALSE)</f>
        <v>7926715.33</v>
      </c>
      <c r="D102" s="44">
        <f t="shared" si="8"/>
        <v>0.901545870835203</v>
      </c>
      <c r="E102" s="43">
        <f>VLOOKUP(A102,[2]ticket_pivot!$A$6:$V$127,4,FALSE)</f>
        <v>7920275.4</v>
      </c>
      <c r="F102" s="44">
        <f t="shared" si="9"/>
        <v>0.999187566383817</v>
      </c>
      <c r="G102" s="43">
        <f>VLOOKUP(A102,[2]Sheet12!$A$5:$G$125,2,FALSE)</f>
        <v>109067166.75</v>
      </c>
      <c r="H102" s="43"/>
      <c r="I102" s="44">
        <f t="shared" si="6"/>
        <v>0</v>
      </c>
      <c r="J102" s="43">
        <f>VLOOKUP(A102,[2]PAR!$A$5:$H$120,2,FALSE)</f>
        <v>1420266.12</v>
      </c>
      <c r="K102" s="44">
        <f t="shared" si="7"/>
        <v>0.0130219401706426</v>
      </c>
    </row>
    <row r="103" spans="1:11">
      <c r="A103" s="40" t="s">
        <v>114</v>
      </c>
      <c r="B103" s="43"/>
      <c r="C103" s="43"/>
      <c r="D103" s="44" t="str">
        <f t="shared" si="8"/>
        <v/>
      </c>
      <c r="E103" s="43"/>
      <c r="F103" s="44" t="str">
        <f t="shared" si="9"/>
        <v/>
      </c>
      <c r="G103" s="43"/>
      <c r="H103" s="43"/>
      <c r="I103" s="44" t="str">
        <f t="shared" si="6"/>
        <v/>
      </c>
      <c r="J103" s="43"/>
      <c r="K103" s="44" t="str">
        <f t="shared" si="7"/>
        <v/>
      </c>
    </row>
    <row r="104" spans="1:11">
      <c r="A104" s="45" t="s">
        <v>115</v>
      </c>
      <c r="B104" s="46">
        <f>SUM(B100:B103)</f>
        <v>33523631.94</v>
      </c>
      <c r="C104" s="46">
        <f>SUM(C100:C103)</f>
        <v>30356779.65</v>
      </c>
      <c r="D104" s="47">
        <f t="shared" si="8"/>
        <v>0.905533735256729</v>
      </c>
      <c r="E104" s="46">
        <f>SUM(E100:E103)</f>
        <v>30234226.11</v>
      </c>
      <c r="F104" s="47">
        <f t="shared" si="9"/>
        <v>0.995962893909928</v>
      </c>
      <c r="G104" s="46">
        <f>SUM(G100:G103)</f>
        <v>543896111.4</v>
      </c>
      <c r="H104" s="46">
        <f>SUM(H100:H103)</f>
        <v>0</v>
      </c>
      <c r="I104" s="47">
        <f t="shared" si="6"/>
        <v>0</v>
      </c>
      <c r="J104" s="46">
        <f>SUM(J100:J103)</f>
        <v>14233240.53</v>
      </c>
      <c r="K104" s="47">
        <f t="shared" si="7"/>
        <v>0.0261690426382409</v>
      </c>
    </row>
    <row r="105" spans="1:11">
      <c r="A105" s="40" t="s">
        <v>116</v>
      </c>
      <c r="B105" s="43">
        <f>VLOOKUP(A105,[2]ticket_pivot!$A$6:$V$127,2,FALSE)</f>
        <v>3408336.27</v>
      </c>
      <c r="C105" s="43">
        <f>VLOOKUP(A105,[2]ticket_pivot!$A$6:$V$127,3,FALSE)</f>
        <v>2991311.9</v>
      </c>
      <c r="D105" s="44">
        <f t="shared" si="8"/>
        <v>0.877645767035774</v>
      </c>
      <c r="E105" s="43">
        <f>VLOOKUP(A105,[2]ticket_pivot!$A$6:$V$127,4,FALSE)</f>
        <v>2882358.81</v>
      </c>
      <c r="F105" s="44">
        <f t="shared" si="9"/>
        <v>0.963576820591661</v>
      </c>
      <c r="G105" s="43">
        <f>VLOOKUP(A105,[2]Sheet12!$A$5:$G$125,2,FALSE)</f>
        <v>58628419.28</v>
      </c>
      <c r="H105" s="43"/>
      <c r="I105" s="44">
        <f t="shared" si="6"/>
        <v>0</v>
      </c>
      <c r="J105" s="43">
        <f>VLOOKUP(A105,[2]PAR!$A$5:$H$120,2,FALSE)</f>
        <v>598875.2</v>
      </c>
      <c r="K105" s="44">
        <f t="shared" si="7"/>
        <v>0.0102147594520648</v>
      </c>
    </row>
    <row r="106" spans="1:11">
      <c r="A106" s="40" t="s">
        <v>117</v>
      </c>
      <c r="B106" s="41">
        <f>VLOOKUP(A106,[2]ticket_pivot!$A$6:$V$127,2,FALSE)</f>
        <v>5469028.62</v>
      </c>
      <c r="C106" s="41">
        <f>VLOOKUP(A106,[2]ticket_pivot!$A$6:$V$127,3,FALSE)</f>
        <v>4369793.33</v>
      </c>
      <c r="D106" s="42">
        <f t="shared" si="8"/>
        <v>0.799007215654323</v>
      </c>
      <c r="E106" s="41">
        <f>VLOOKUP(A106,[2]ticket_pivot!$A$6:$V$127,4,FALSE)</f>
        <v>4307015.8</v>
      </c>
      <c r="F106" s="42">
        <f t="shared" si="9"/>
        <v>0.985633753072711</v>
      </c>
      <c r="G106" s="41">
        <f>VLOOKUP(A106,[2]Sheet12!$A$5:$G$125,2,FALSE)</f>
        <v>74183292.54</v>
      </c>
      <c r="H106" s="41">
        <f>VLOOKUP(A106,[2]NPL!$A$5:$H$119,2,FALSE)</f>
        <v>1385551.84</v>
      </c>
      <c r="I106" s="42">
        <f t="shared" si="6"/>
        <v>0.0186774109446936</v>
      </c>
      <c r="J106" s="41">
        <f>VLOOKUP(A106,[2]PAR!$A$5:$H$120,2,FALSE)</f>
        <v>2705659.07</v>
      </c>
      <c r="K106" s="42">
        <f t="shared" si="7"/>
        <v>0.0364726204157236</v>
      </c>
    </row>
    <row r="107" spans="1:11">
      <c r="A107" s="40" t="s">
        <v>118</v>
      </c>
      <c r="B107" s="43">
        <f>VLOOKUP(A107,[2]ticket_pivot!$A$6:$V$127,2,FALSE)</f>
        <v>5732981.61</v>
      </c>
      <c r="C107" s="43">
        <f>VLOOKUP(A107,[2]ticket_pivot!$A$6:$V$127,3,FALSE)</f>
        <v>5282280.71</v>
      </c>
      <c r="D107" s="44">
        <f t="shared" si="8"/>
        <v>0.921384555077964</v>
      </c>
      <c r="E107" s="43">
        <f>VLOOKUP(A107,[2]ticket_pivot!$A$6:$V$127,4,FALSE)</f>
        <v>5260491.73</v>
      </c>
      <c r="F107" s="44">
        <f t="shared" si="9"/>
        <v>0.995875081012118</v>
      </c>
      <c r="G107" s="43">
        <f>VLOOKUP(A107,[2]Sheet12!$A$5:$G$125,2,FALSE)</f>
        <v>129239010.39</v>
      </c>
      <c r="H107" s="43"/>
      <c r="I107" s="44">
        <f t="shared" si="6"/>
        <v>0</v>
      </c>
      <c r="J107" s="43">
        <f>VLOOKUP(A107,[2]PAR!$A$5:$H$120,2,FALSE)</f>
        <v>1832513.5</v>
      </c>
      <c r="K107" s="44">
        <f t="shared" si="7"/>
        <v>0.0141792597642932</v>
      </c>
    </row>
    <row r="108" spans="1:11">
      <c r="A108" s="40" t="s">
        <v>119</v>
      </c>
      <c r="B108" s="43">
        <f>VLOOKUP(A108,[2]ticket_pivot!$A$6:$V$127,2,FALSE)</f>
        <v>3204197.45</v>
      </c>
      <c r="C108" s="43">
        <f>VLOOKUP(A108,[2]ticket_pivot!$A$6:$V$127,3,FALSE)</f>
        <v>3243793.21</v>
      </c>
      <c r="D108" s="44">
        <f t="shared" si="8"/>
        <v>1.01235746567366</v>
      </c>
      <c r="E108" s="43">
        <f>VLOOKUP(A108,[2]ticket_pivot!$A$6:$V$127,4,FALSE)</f>
        <v>3070081.24</v>
      </c>
      <c r="F108" s="44">
        <f t="shared" si="9"/>
        <v>0.94644789024637</v>
      </c>
      <c r="G108" s="43">
        <f>VLOOKUP(A108,[2]Sheet12!$A$5:$G$125,2,FALSE)</f>
        <v>37556393.87</v>
      </c>
      <c r="H108" s="43"/>
      <c r="I108" s="44">
        <f t="shared" si="6"/>
        <v>0</v>
      </c>
      <c r="J108" s="43"/>
      <c r="K108" s="44">
        <f t="shared" si="7"/>
        <v>0</v>
      </c>
    </row>
    <row r="109" spans="1:11">
      <c r="A109" s="45" t="s">
        <v>120</v>
      </c>
      <c r="B109" s="46">
        <f>SUM(B105:B108)</f>
        <v>17814543.95</v>
      </c>
      <c r="C109" s="46">
        <f>SUM(C105:C108)</f>
        <v>15887179.15</v>
      </c>
      <c r="D109" s="47">
        <f t="shared" si="8"/>
        <v>0.891809478513201</v>
      </c>
      <c r="E109" s="46">
        <f>SUM(E105:E108)</f>
        <v>15519947.58</v>
      </c>
      <c r="F109" s="47">
        <f t="shared" si="9"/>
        <v>0.976885036258938</v>
      </c>
      <c r="G109" s="46">
        <f>SUM(G105:G108)</f>
        <v>299607116.08</v>
      </c>
      <c r="H109" s="46">
        <f>SUM(H105:H108)</f>
        <v>1385551.84</v>
      </c>
      <c r="I109" s="47">
        <f t="shared" si="6"/>
        <v>0.00462456252083824</v>
      </c>
      <c r="J109" s="46">
        <f>SUM(J105:J108)</f>
        <v>5137047.77</v>
      </c>
      <c r="K109" s="47">
        <f t="shared" si="7"/>
        <v>0.0171459471230594</v>
      </c>
    </row>
    <row r="110" spans="1:11">
      <c r="A110" s="40" t="s">
        <v>121</v>
      </c>
      <c r="B110" s="41">
        <f>VLOOKUP(A110,[2]ticket_pivot!$A$6:$V$127,2,FALSE)</f>
        <v>8399126.38</v>
      </c>
      <c r="C110" s="41">
        <f>VLOOKUP(A110,[2]ticket_pivot!$A$6:$V$127,3,FALSE)</f>
        <v>9027533.66</v>
      </c>
      <c r="D110" s="42">
        <f t="shared" si="8"/>
        <v>1.07481817174419</v>
      </c>
      <c r="E110" s="41">
        <f>VLOOKUP(A110,[2]ticket_pivot!$A$6:$V$127,4,FALSE)</f>
        <v>7981410.11</v>
      </c>
      <c r="F110" s="42">
        <f t="shared" si="9"/>
        <v>0.884118565557361</v>
      </c>
      <c r="G110" s="41">
        <f>VLOOKUP(A110,[2]Sheet12!$A$5:$G$125,2,FALSE)</f>
        <v>68133440.49</v>
      </c>
      <c r="H110" s="41"/>
      <c r="I110" s="42">
        <f t="shared" si="6"/>
        <v>0</v>
      </c>
      <c r="J110" s="41">
        <f>VLOOKUP(A110,[2]PAR!$A$5:$H$120,2,FALSE)</f>
        <v>826917.25</v>
      </c>
      <c r="K110" s="42">
        <f t="shared" si="7"/>
        <v>0.0121367311565804</v>
      </c>
    </row>
    <row r="111" spans="1:11">
      <c r="A111" s="40" t="s">
        <v>122</v>
      </c>
      <c r="B111" s="41">
        <f>VLOOKUP(A111,[2]ticket_pivot!$A$6:$V$127,2,FALSE)</f>
        <v>7620853.59</v>
      </c>
      <c r="C111" s="41">
        <f>VLOOKUP(A111,[2]ticket_pivot!$A$6:$V$127,3,FALSE)</f>
        <v>7826171.81</v>
      </c>
      <c r="D111" s="42">
        <f t="shared" si="8"/>
        <v>1.02694163030102</v>
      </c>
      <c r="E111" s="41">
        <f>VLOOKUP(A111,[2]ticket_pivot!$A$6:$V$127,4,FALSE)</f>
        <v>7250523.86</v>
      </c>
      <c r="F111" s="42">
        <f t="shared" si="9"/>
        <v>0.926445781670106</v>
      </c>
      <c r="G111" s="41">
        <f>VLOOKUP(A111,[2]Sheet12!$A$5:$G$125,2,FALSE)</f>
        <v>89106455.83</v>
      </c>
      <c r="H111" s="41"/>
      <c r="I111" s="42">
        <f t="shared" si="6"/>
        <v>0</v>
      </c>
      <c r="J111" s="41">
        <f>VLOOKUP(A111,[2]PAR!$A$5:$H$120,2,FALSE)</f>
        <v>1108861.37</v>
      </c>
      <c r="K111" s="42">
        <f t="shared" si="7"/>
        <v>0.012444231561802</v>
      </c>
    </row>
    <row r="112" spans="1:11">
      <c r="A112" s="45" t="s">
        <v>123</v>
      </c>
      <c r="B112" s="46">
        <f>SUM(B110:B111)</f>
        <v>16019979.97</v>
      </c>
      <c r="C112" s="46">
        <f>SUM(C110:C111)</f>
        <v>16853705.47</v>
      </c>
      <c r="D112" s="47">
        <f t="shared" si="8"/>
        <v>1.05204285533198</v>
      </c>
      <c r="E112" s="46">
        <f>SUM(E110:E111)</f>
        <v>15231933.97</v>
      </c>
      <c r="F112" s="47">
        <f t="shared" si="9"/>
        <v>0.903773594306202</v>
      </c>
      <c r="G112" s="46">
        <f>SUM(G110:G111)</f>
        <v>157239896.32</v>
      </c>
      <c r="H112" s="46">
        <f>SUM(H110:H111)</f>
        <v>0</v>
      </c>
      <c r="I112" s="47">
        <f t="shared" si="6"/>
        <v>0</v>
      </c>
      <c r="J112" s="46">
        <f>SUM(J110:J111)</f>
        <v>1935778.62</v>
      </c>
      <c r="K112" s="47">
        <f t="shared" si="7"/>
        <v>0.0123109889112397</v>
      </c>
    </row>
    <row r="113" spans="1:11">
      <c r="A113" s="48" t="s">
        <v>124</v>
      </c>
      <c r="B113" s="49">
        <f>SUM(B112,B109,B104)</f>
        <v>67358155.86</v>
      </c>
      <c r="C113" s="49">
        <f>SUM(C112,C109,C104)</f>
        <v>63097664.27</v>
      </c>
      <c r="D113" s="50">
        <f t="shared" si="8"/>
        <v>0.936748690108809</v>
      </c>
      <c r="E113" s="49">
        <f>SUM(E112,E109,E104)</f>
        <v>60986107.66</v>
      </c>
      <c r="F113" s="50">
        <f t="shared" si="9"/>
        <v>0.966535106577567</v>
      </c>
      <c r="G113" s="49">
        <f>SUM(G112,G109,G104)</f>
        <v>1000743123.8</v>
      </c>
      <c r="H113" s="49">
        <f>SUM(H112,H109,H104)</f>
        <v>1385551.84</v>
      </c>
      <c r="I113" s="50">
        <f t="shared" si="6"/>
        <v>0.00138452296803081</v>
      </c>
      <c r="J113" s="49">
        <f>SUM(J112,J109,J104)</f>
        <v>21306066.92</v>
      </c>
      <c r="K113" s="50">
        <f t="shared" si="7"/>
        <v>0.0212902456317632</v>
      </c>
    </row>
    <row r="114" spans="1:11">
      <c r="A114" s="51" t="s">
        <v>125</v>
      </c>
      <c r="B114" s="52">
        <f>SUM(B113,B99,B90)</f>
        <v>272586838</v>
      </c>
      <c r="C114" s="52">
        <f>SUM(C113,C99,C90)</f>
        <v>220958301.53</v>
      </c>
      <c r="D114" s="53">
        <f t="shared" si="8"/>
        <v>0.810597837926423</v>
      </c>
      <c r="E114" s="52">
        <f>SUM(E113,E99,E90)</f>
        <v>217858639.5</v>
      </c>
      <c r="F114" s="53">
        <f t="shared" si="9"/>
        <v>0.98597173308929</v>
      </c>
      <c r="G114" s="52">
        <f>SUM(G113,G99,G90)</f>
        <v>2914641619.56</v>
      </c>
      <c r="H114" s="52">
        <f>SUM(H113,H99,H90)</f>
        <v>7808605.13</v>
      </c>
      <c r="I114" s="53">
        <f t="shared" si="6"/>
        <v>0.00267909614602251</v>
      </c>
      <c r="J114" s="52">
        <f>SUM(J113,J99,J90)</f>
        <v>51326171.74</v>
      </c>
      <c r="K114" s="53">
        <f t="shared" si="7"/>
        <v>0.0176097710934864</v>
      </c>
    </row>
    <row r="115" spans="1:11">
      <c r="A115" s="40" t="s">
        <v>126</v>
      </c>
      <c r="B115" s="43">
        <f>VLOOKUP(A115,[2]ticket_pivot!$A$6:$V$127,2,FALSE)</f>
        <v>5366765.21</v>
      </c>
      <c r="C115" s="43">
        <f>VLOOKUP(A115,[2]ticket_pivot!$A$6:$V$127,3,FALSE)</f>
        <v>5194819.89</v>
      </c>
      <c r="D115" s="44">
        <f t="shared" si="8"/>
        <v>0.967961087680972</v>
      </c>
      <c r="E115" s="43">
        <f>VLOOKUP(A115,[2]ticket_pivot!$A$6:$V$127,4,FALSE)</f>
        <v>5050268.49</v>
      </c>
      <c r="F115" s="44">
        <f t="shared" si="9"/>
        <v>0.97217393421507</v>
      </c>
      <c r="G115" s="43">
        <f>VLOOKUP(A115,[2]Sheet12!$A$5:$G$125,2,FALSE)</f>
        <v>97744012.21</v>
      </c>
      <c r="H115" s="43"/>
      <c r="I115" s="44">
        <f t="shared" si="6"/>
        <v>0</v>
      </c>
      <c r="J115" s="43"/>
      <c r="K115" s="44">
        <f t="shared" si="7"/>
        <v>0</v>
      </c>
    </row>
    <row r="116" spans="1:11">
      <c r="A116" s="40" t="s">
        <v>127</v>
      </c>
      <c r="B116" s="43">
        <f>VLOOKUP(A116,[2]ticket_pivot!$A$6:$V$127,2,FALSE)</f>
        <v>6904139.16</v>
      </c>
      <c r="C116" s="43">
        <f>VLOOKUP(A116,[2]ticket_pivot!$A$6:$V$127,3,FALSE)</f>
        <v>6600619.08</v>
      </c>
      <c r="D116" s="44">
        <f t="shared" si="8"/>
        <v>0.956037954484104</v>
      </c>
      <c r="E116" s="43">
        <f>VLOOKUP(A116,[2]ticket_pivot!$A$6:$V$127,4,FALSE)</f>
        <v>6588262.04</v>
      </c>
      <c r="F116" s="44">
        <f t="shared" si="9"/>
        <v>0.9981278968154</v>
      </c>
      <c r="G116" s="43">
        <f>VLOOKUP(A116,[2]Sheet12!$A$5:$G$125,2,FALSE)</f>
        <v>144409970.71</v>
      </c>
      <c r="H116" s="43"/>
      <c r="I116" s="44">
        <f t="shared" si="6"/>
        <v>0</v>
      </c>
      <c r="J116" s="43"/>
      <c r="K116" s="44">
        <f t="shared" si="7"/>
        <v>0</v>
      </c>
    </row>
    <row r="117" spans="1:11">
      <c r="A117" s="40" t="s">
        <v>128</v>
      </c>
      <c r="B117" s="41">
        <f>VLOOKUP(A117,[2]ticket_pivot!$A$6:$V$127,2,FALSE)</f>
        <v>7150445.51</v>
      </c>
      <c r="C117" s="41">
        <f>VLOOKUP(A117,[2]ticket_pivot!$A$6:$V$127,3,FALSE)</f>
        <v>6285083</v>
      </c>
      <c r="D117" s="42">
        <f t="shared" si="8"/>
        <v>0.87897781910375</v>
      </c>
      <c r="E117" s="41">
        <f>VLOOKUP(A117,[2]ticket_pivot!$A$6:$V$127,4,FALSE)</f>
        <v>6188591.92</v>
      </c>
      <c r="F117" s="42">
        <f t="shared" si="9"/>
        <v>0.984647604494642</v>
      </c>
      <c r="G117" s="41">
        <f>VLOOKUP(A117,[2]Sheet12!$A$5:$G$125,2,FALSE)</f>
        <v>111036485.63</v>
      </c>
      <c r="H117" s="41">
        <f>VLOOKUP(A117,[2]NPL!$A$5:$H$119,2,FALSE)</f>
        <v>1277234.15</v>
      </c>
      <c r="I117" s="42">
        <f t="shared" si="6"/>
        <v>0.0115028329900142</v>
      </c>
      <c r="J117" s="41">
        <f>VLOOKUP(A117,[2]PAR!$A$5:$H$120,2,FALSE)</f>
        <v>2173690.96</v>
      </c>
      <c r="K117" s="42">
        <f t="shared" si="7"/>
        <v>0.0195763667020519</v>
      </c>
    </row>
    <row r="118" spans="1:11">
      <c r="A118" s="40" t="s">
        <v>129</v>
      </c>
      <c r="B118" s="43">
        <f>VLOOKUP(A118,[2]ticket_pivot!$A$6:$V$127,2,FALSE)</f>
        <v>10740988.54</v>
      </c>
      <c r="C118" s="43">
        <f>VLOOKUP(A118,[2]ticket_pivot!$A$6:$V$127,3,FALSE)</f>
        <v>9997755.61</v>
      </c>
      <c r="D118" s="44">
        <f t="shared" si="8"/>
        <v>0.930804047762256</v>
      </c>
      <c r="E118" s="43">
        <f>VLOOKUP(A118,[2]ticket_pivot!$A$6:$V$127,4,FALSE)</f>
        <v>9919827.23</v>
      </c>
      <c r="F118" s="44">
        <f t="shared" si="9"/>
        <v>0.992205412590596</v>
      </c>
      <c r="G118" s="43">
        <f>VLOOKUP(A118,[2]Sheet12!$A$5:$G$125,2,FALSE)</f>
        <v>162278487.57</v>
      </c>
      <c r="H118" s="43"/>
      <c r="I118" s="44">
        <f t="shared" si="6"/>
        <v>0</v>
      </c>
      <c r="J118" s="43"/>
      <c r="K118" s="44">
        <f t="shared" si="7"/>
        <v>0</v>
      </c>
    </row>
    <row r="119" spans="1:11">
      <c r="A119" s="45" t="s">
        <v>130</v>
      </c>
      <c r="B119" s="46">
        <f>SUM(B115:B118)</f>
        <v>30162338.42</v>
      </c>
      <c r="C119" s="46">
        <f>SUM(C115:C118)</f>
        <v>28078277.58</v>
      </c>
      <c r="D119" s="47">
        <f t="shared" si="8"/>
        <v>0.930905196706562</v>
      </c>
      <c r="E119" s="46">
        <f>SUM(E115:E118)</f>
        <v>27746949.68</v>
      </c>
      <c r="F119" s="47">
        <f t="shared" si="9"/>
        <v>0.98819984954362</v>
      </c>
      <c r="G119" s="46">
        <f>SUM(G115:G118)</f>
        <v>515468956.12</v>
      </c>
      <c r="H119" s="46">
        <f>SUM(H115:H118)</f>
        <v>1277234.15</v>
      </c>
      <c r="I119" s="47">
        <f t="shared" si="6"/>
        <v>0.00247781003072213</v>
      </c>
      <c r="J119" s="46">
        <f>SUM(J115:J118)</f>
        <v>2173690.96</v>
      </c>
      <c r="K119" s="47">
        <f t="shared" si="7"/>
        <v>0.0042169192425508</v>
      </c>
    </row>
    <row r="120" spans="1:11">
      <c r="A120" s="40" t="s">
        <v>131</v>
      </c>
      <c r="B120" s="43">
        <f>VLOOKUP(A120,[2]ticket_pivot!$A$6:$V$127,2,FALSE)</f>
        <v>18554925.84</v>
      </c>
      <c r="C120" s="43">
        <f>VLOOKUP(A120,[2]ticket_pivot!$A$6:$V$127,3,FALSE)</f>
        <v>14856540.01</v>
      </c>
      <c r="D120" s="44">
        <f t="shared" si="8"/>
        <v>0.800679029283579</v>
      </c>
      <c r="E120" s="43">
        <f>VLOOKUP(A120,[2]ticket_pivot!$A$6:$V$127,4,FALSE)</f>
        <v>14699025.97</v>
      </c>
      <c r="F120" s="44">
        <f t="shared" si="9"/>
        <v>0.989397663258472</v>
      </c>
      <c r="G120" s="43">
        <f>VLOOKUP(A120,[2]Sheet12!$A$5:$G$125,2,FALSE)</f>
        <v>213760500.17</v>
      </c>
      <c r="H120" s="43">
        <f>VLOOKUP(A120,[2]NPL!$A$5:$H$119,2,FALSE)</f>
        <v>2356767.96</v>
      </c>
      <c r="I120" s="44">
        <f t="shared" si="6"/>
        <v>0.0110252734163969</v>
      </c>
      <c r="J120" s="43">
        <f>VLOOKUP(A120,[2]PAR!$A$5:$H$120,2,FALSE)</f>
        <v>2356767.96</v>
      </c>
      <c r="K120" s="44">
        <f t="shared" si="7"/>
        <v>0.0110252734163969</v>
      </c>
    </row>
    <row r="121" spans="1:11">
      <c r="A121" s="40" t="s">
        <v>132</v>
      </c>
      <c r="B121" s="41">
        <f>VLOOKUP(A121,[2]ticket_pivot!$A$6:$V$127,2,FALSE)</f>
        <v>10219279.72</v>
      </c>
      <c r="C121" s="41">
        <f>VLOOKUP(A121,[2]ticket_pivot!$A$6:$V$127,3,FALSE)</f>
        <v>9302930.47</v>
      </c>
      <c r="D121" s="42">
        <f t="shared" si="8"/>
        <v>0.910331327147585</v>
      </c>
      <c r="E121" s="41">
        <f>VLOOKUP(A121,[2]ticket_pivot!$A$6:$V$127,4,FALSE)</f>
        <v>9289969.53</v>
      </c>
      <c r="F121" s="42">
        <f t="shared" si="9"/>
        <v>0.998606789544241</v>
      </c>
      <c r="G121" s="41">
        <f>VLOOKUP(A121,[2]Sheet12!$A$5:$G$125,2,FALSE)</f>
        <v>155657481.28</v>
      </c>
      <c r="H121" s="41"/>
      <c r="I121" s="42">
        <f t="shared" si="6"/>
        <v>0</v>
      </c>
      <c r="J121" s="41">
        <f>VLOOKUP(A121,[2]PAR!$A$5:$H$120,2,FALSE)</f>
        <v>5290379.67</v>
      </c>
      <c r="K121" s="42">
        <f t="shared" si="7"/>
        <v>0.0339873138540868</v>
      </c>
    </row>
    <row r="122" spans="1:11">
      <c r="A122" s="40" t="s">
        <v>133</v>
      </c>
      <c r="B122" s="43">
        <f>VLOOKUP(A122,[2]ticket_pivot!$A$6:$V$127,2,FALSE)</f>
        <v>7296856.11</v>
      </c>
      <c r="C122" s="43">
        <f>VLOOKUP(A122,[2]ticket_pivot!$A$6:$V$127,3,FALSE)</f>
        <v>7308220.6</v>
      </c>
      <c r="D122" s="44">
        <f t="shared" si="8"/>
        <v>1.00155745019892</v>
      </c>
      <c r="E122" s="43">
        <f>VLOOKUP(A122,[2]ticket_pivot!$A$6:$V$127,4,FALSE)</f>
        <v>7296856.11</v>
      </c>
      <c r="F122" s="44">
        <f t="shared" si="9"/>
        <v>0.998444971680248</v>
      </c>
      <c r="G122" s="43">
        <f>VLOOKUP(A122,[2]Sheet12!$A$5:$G$125,2,FALSE)</f>
        <v>110660788.83</v>
      </c>
      <c r="H122" s="43"/>
      <c r="I122" s="44">
        <f t="shared" si="6"/>
        <v>0</v>
      </c>
      <c r="J122" s="43"/>
      <c r="K122" s="44">
        <f t="shared" si="7"/>
        <v>0</v>
      </c>
    </row>
    <row r="123" spans="1:11">
      <c r="A123" s="45" t="s">
        <v>134</v>
      </c>
      <c r="B123" s="46">
        <f>SUM(B120:B122)</f>
        <v>36071061.67</v>
      </c>
      <c r="C123" s="46">
        <f>SUM(C120:C122)</f>
        <v>31467691.08</v>
      </c>
      <c r="D123" s="47">
        <f t="shared" si="8"/>
        <v>0.872380507340914</v>
      </c>
      <c r="E123" s="46">
        <f>SUM(E120:E122)</f>
        <v>31285851.61</v>
      </c>
      <c r="F123" s="47">
        <f t="shared" si="9"/>
        <v>0.994221391409439</v>
      </c>
      <c r="G123" s="46">
        <f>SUM(G120:G122)</f>
        <v>480078770.28</v>
      </c>
      <c r="H123" s="46">
        <f>SUM(H120:H122)</f>
        <v>2356767.96</v>
      </c>
      <c r="I123" s="47">
        <f t="shared" si="6"/>
        <v>0.00490912763883611</v>
      </c>
      <c r="J123" s="46">
        <f>SUM(J120:J122)</f>
        <v>7647147.63</v>
      </c>
      <c r="K123" s="47">
        <f t="shared" si="7"/>
        <v>0.0159289435472014</v>
      </c>
    </row>
    <row r="124" spans="1:11">
      <c r="A124" s="40" t="s">
        <v>135</v>
      </c>
      <c r="B124" s="43">
        <f>VLOOKUP(A124,[2]ticket_pivot!$A$6:$V$127,2,FALSE)</f>
        <v>12376854.52</v>
      </c>
      <c r="C124" s="43">
        <f>VLOOKUP(A124,[2]ticket_pivot!$A$6:$V$127,3,FALSE)</f>
        <v>11873368.16</v>
      </c>
      <c r="D124" s="44">
        <f t="shared" si="8"/>
        <v>0.959320329798948</v>
      </c>
      <c r="E124" s="43">
        <f>VLOOKUP(A124,[2]ticket_pivot!$A$6:$V$127,4,FALSE)</f>
        <v>11597864.39</v>
      </c>
      <c r="F124" s="44">
        <f t="shared" si="9"/>
        <v>0.976796493944478</v>
      </c>
      <c r="G124" s="43">
        <f>VLOOKUP(A124,[2]Sheet12!$A$5:$G$125,2,FALSE)</f>
        <v>175217947.14</v>
      </c>
      <c r="H124" s="43"/>
      <c r="I124" s="44">
        <f t="shared" si="6"/>
        <v>0</v>
      </c>
      <c r="J124" s="43">
        <f>VLOOKUP(A124,[2]PAR!$A$5:$H$120,2,FALSE)</f>
        <v>1723075.75</v>
      </c>
      <c r="K124" s="44">
        <f t="shared" si="7"/>
        <v>0.00983389988368745</v>
      </c>
    </row>
    <row r="125" spans="1:11">
      <c r="A125" s="40" t="s">
        <v>136</v>
      </c>
      <c r="B125" s="41">
        <f>VLOOKUP(A125,[2]ticket_pivot!$A$6:$V$127,2,FALSE)</f>
        <v>11343313.35</v>
      </c>
      <c r="C125" s="41">
        <f>VLOOKUP(A125,[2]ticket_pivot!$A$6:$V$127,3,FALSE)</f>
        <v>10293327.57</v>
      </c>
      <c r="D125" s="42">
        <f t="shared" si="8"/>
        <v>0.907435707045861</v>
      </c>
      <c r="E125" s="41">
        <f>VLOOKUP(A125,[2]ticket_pivot!$A$6:$V$127,4,FALSE)</f>
        <v>10157367.53</v>
      </c>
      <c r="F125" s="42">
        <f t="shared" si="9"/>
        <v>0.986791439495596</v>
      </c>
      <c r="G125" s="41">
        <f>VLOOKUP(A125,[2]Sheet12!$A$5:$G$125,2,FALSE)</f>
        <v>139014742.78</v>
      </c>
      <c r="H125" s="41"/>
      <c r="I125" s="42">
        <f t="shared" si="6"/>
        <v>0</v>
      </c>
      <c r="J125" s="41">
        <f>VLOOKUP(A125,[2]PAR!$A$5:$H$120,2,FALSE)</f>
        <v>4545172.02</v>
      </c>
      <c r="K125" s="42">
        <f t="shared" si="7"/>
        <v>0.032695611480525</v>
      </c>
    </row>
    <row r="126" spans="1:11">
      <c r="A126" s="40" t="s">
        <v>137</v>
      </c>
      <c r="B126" s="43">
        <f>VLOOKUP(A126,[2]ticket_pivot!$A$6:$V$127,2,FALSE)</f>
        <v>9109083.11</v>
      </c>
      <c r="C126" s="43">
        <f>VLOOKUP(A126,[2]ticket_pivot!$A$6:$V$127,3,FALSE)</f>
        <v>8705123.96</v>
      </c>
      <c r="D126" s="44">
        <f t="shared" si="8"/>
        <v>0.955653149156524</v>
      </c>
      <c r="E126" s="43">
        <f>VLOOKUP(A126,[2]ticket_pivot!$A$6:$V$127,4,FALSE)</f>
        <v>8566503.24</v>
      </c>
      <c r="F126" s="44">
        <f t="shared" si="9"/>
        <v>0.984075962543789</v>
      </c>
      <c r="G126" s="43">
        <f>VLOOKUP(A126,[2]Sheet12!$A$5:$G$125,2,FALSE)</f>
        <v>159957822.84</v>
      </c>
      <c r="H126" s="43"/>
      <c r="I126" s="44">
        <f t="shared" si="6"/>
        <v>0</v>
      </c>
      <c r="J126" s="43">
        <f>VLOOKUP(A126,[2]PAR!$A$5:$H$120,2,FALSE)</f>
        <v>3597635.06</v>
      </c>
      <c r="K126" s="44">
        <f t="shared" si="7"/>
        <v>0.0224911479546617</v>
      </c>
    </row>
    <row r="127" spans="1:11">
      <c r="A127" s="45" t="s">
        <v>138</v>
      </c>
      <c r="B127" s="46">
        <f>SUM(B124:B126)</f>
        <v>32829250.98</v>
      </c>
      <c r="C127" s="46">
        <f>SUM(C124:C126)</f>
        <v>30871819.69</v>
      </c>
      <c r="D127" s="47">
        <f t="shared" si="8"/>
        <v>0.940375389886523</v>
      </c>
      <c r="E127" s="46">
        <f>SUM(E124:E126)</f>
        <v>30321735.16</v>
      </c>
      <c r="F127" s="47">
        <f t="shared" si="9"/>
        <v>0.982181661608428</v>
      </c>
      <c r="G127" s="46">
        <f>SUM(G124:G126)</f>
        <v>474190512.76</v>
      </c>
      <c r="H127" s="46">
        <f>SUM(H124:H126)</f>
        <v>0</v>
      </c>
      <c r="I127" s="47">
        <f t="shared" si="6"/>
        <v>0</v>
      </c>
      <c r="J127" s="46">
        <f>SUM(J124:J126)</f>
        <v>9865882.83</v>
      </c>
      <c r="K127" s="47">
        <f t="shared" si="7"/>
        <v>0.0208057364382433</v>
      </c>
    </row>
    <row r="128" spans="1:11">
      <c r="A128" s="40" t="s">
        <v>139</v>
      </c>
      <c r="B128" s="43">
        <f>VLOOKUP(A128,[2]ticket_pivot!$A$6:$V$127,2,FALSE)</f>
        <v>4029100.14</v>
      </c>
      <c r="C128" s="43">
        <f>VLOOKUP(A128,[2]ticket_pivot!$A$6:$V$127,3,FALSE)</f>
        <v>3402456.25</v>
      </c>
      <c r="D128" s="44">
        <f t="shared" si="8"/>
        <v>0.844470509983403</v>
      </c>
      <c r="E128" s="43">
        <f>VLOOKUP(A128,[2]ticket_pivot!$A$6:$V$127,4,FALSE)</f>
        <v>3399008.65</v>
      </c>
      <c r="F128" s="44">
        <f t="shared" si="9"/>
        <v>0.998986732011617</v>
      </c>
      <c r="G128" s="43">
        <f>VLOOKUP(A128,[2]Sheet12!$A$5:$G$125,2,FALSE)</f>
        <v>50640425.28</v>
      </c>
      <c r="H128" s="43"/>
      <c r="I128" s="44">
        <f t="shared" si="6"/>
        <v>0</v>
      </c>
      <c r="J128" s="43">
        <f>VLOOKUP(A128,[2]PAR!$A$5:$H$120,2,FALSE)</f>
        <v>4167931.62</v>
      </c>
      <c r="K128" s="44">
        <f t="shared" si="7"/>
        <v>0.0823044355760197</v>
      </c>
    </row>
    <row r="129" spans="1:11">
      <c r="A129" s="40" t="s">
        <v>140</v>
      </c>
      <c r="B129" s="41">
        <f>VLOOKUP(A129,[2]ticket_pivot!$A$6:$V$127,2,FALSE)</f>
        <v>7785106.56</v>
      </c>
      <c r="C129" s="41">
        <f>VLOOKUP(A129,[2]ticket_pivot!$A$6:$V$127,3,FALSE)</f>
        <v>7346624.76</v>
      </c>
      <c r="D129" s="42">
        <f t="shared" si="8"/>
        <v>0.943676840307758</v>
      </c>
      <c r="E129" s="41">
        <f>VLOOKUP(A129,[2]ticket_pivot!$A$6:$V$127,4,FALSE)</f>
        <v>7313718.87</v>
      </c>
      <c r="F129" s="42">
        <f t="shared" si="9"/>
        <v>0.99552095131098</v>
      </c>
      <c r="G129" s="41">
        <f>VLOOKUP(A129,[2]Sheet12!$A$5:$G$125,2,FALSE)</f>
        <v>110320392.75</v>
      </c>
      <c r="H129" s="41"/>
      <c r="I129" s="42">
        <f t="shared" si="6"/>
        <v>0</v>
      </c>
      <c r="J129" s="41">
        <f>VLOOKUP(A129,[2]PAR!$A$5:$H$120,2,FALSE)</f>
        <v>999277.64</v>
      </c>
      <c r="K129" s="42">
        <f t="shared" si="7"/>
        <v>0.00905795941340138</v>
      </c>
    </row>
    <row r="130" spans="1:11">
      <c r="A130" s="40" t="s">
        <v>141</v>
      </c>
      <c r="B130" s="41">
        <f>VLOOKUP(A130,[2]ticket_pivot!$A$6:$V$127,2,FALSE)</f>
        <v>5829358.03</v>
      </c>
      <c r="C130" s="41">
        <f>VLOOKUP(A130,[2]ticket_pivot!$A$6:$V$127,3,FALSE)</f>
        <v>5375278.76</v>
      </c>
      <c r="D130" s="42">
        <f t="shared" si="8"/>
        <v>0.922104755332724</v>
      </c>
      <c r="E130" s="41">
        <f>VLOOKUP(A130,[2]ticket_pivot!$A$6:$V$127,4,FALSE)</f>
        <v>5320760.72</v>
      </c>
      <c r="F130" s="42">
        <f t="shared" si="9"/>
        <v>0.989857634843853</v>
      </c>
      <c r="G130" s="41">
        <f>VLOOKUP(A130,[2]Sheet12!$A$5:$G$125,2,FALSE)</f>
        <v>79912798.42</v>
      </c>
      <c r="H130" s="41"/>
      <c r="I130" s="42">
        <f t="shared" si="6"/>
        <v>0</v>
      </c>
      <c r="J130" s="41">
        <f>VLOOKUP(A130,[2]PAR!$A$5:$H$120,2,FALSE)</f>
        <v>2041804.66</v>
      </c>
      <c r="K130" s="42">
        <f t="shared" si="7"/>
        <v>0.0255504087001037</v>
      </c>
    </row>
    <row r="131" spans="1:11">
      <c r="A131" s="45" t="s">
        <v>142</v>
      </c>
      <c r="B131" s="46">
        <f>SUM(B128:B130)</f>
        <v>17643564.73</v>
      </c>
      <c r="C131" s="46">
        <f>SUM(C128:C130)</f>
        <v>16124359.77</v>
      </c>
      <c r="D131" s="47">
        <f t="shared" si="8"/>
        <v>0.91389467019571</v>
      </c>
      <c r="E131" s="46">
        <f>SUM(E128:E130)</f>
        <v>16033488.24</v>
      </c>
      <c r="F131" s="47">
        <f t="shared" si="9"/>
        <v>0.994364332519479</v>
      </c>
      <c r="G131" s="46">
        <f>SUM(G128:G130)</f>
        <v>240873616.45</v>
      </c>
      <c r="H131" s="46">
        <f>SUM(H128:H130)</f>
        <v>0</v>
      </c>
      <c r="I131" s="47">
        <f t="shared" ref="I131:I186" si="10">IFERROR(H131/G131,"")</f>
        <v>0</v>
      </c>
      <c r="J131" s="46">
        <f>SUM(J128:J130)</f>
        <v>7209013.92</v>
      </c>
      <c r="K131" s="47">
        <f t="shared" ref="K131:K186" si="11">IFERROR(J131/G131,"")</f>
        <v>0.0299286157871775</v>
      </c>
    </row>
    <row r="132" spans="1:11">
      <c r="A132" s="48" t="s">
        <v>143</v>
      </c>
      <c r="B132" s="49">
        <f>SUM(B131,B127,B123,B119)</f>
        <v>116706215.8</v>
      </c>
      <c r="C132" s="49">
        <f>SUM(C131,C127,C123,C119)</f>
        <v>106542148.12</v>
      </c>
      <c r="D132" s="50">
        <f t="shared" si="8"/>
        <v>0.912908943107039</v>
      </c>
      <c r="E132" s="49">
        <f>SUM(E131,E127,E123,E119)</f>
        <v>105388024.69</v>
      </c>
      <c r="F132" s="50">
        <f t="shared" si="9"/>
        <v>0.989167447340182</v>
      </c>
      <c r="G132" s="49">
        <f>SUM(G131,G127,G123,G119)</f>
        <v>1710611855.61</v>
      </c>
      <c r="H132" s="49">
        <f>SUM(H131,H127,H123,H119)</f>
        <v>3634002.11</v>
      </c>
      <c r="I132" s="50">
        <f t="shared" si="10"/>
        <v>0.00212438730509331</v>
      </c>
      <c r="J132" s="49">
        <f>SUM(J131,J127,J123,J119)</f>
        <v>26895735.34</v>
      </c>
      <c r="K132" s="50">
        <f t="shared" si="11"/>
        <v>0.0157228743924548</v>
      </c>
    </row>
    <row r="133" spans="1:11">
      <c r="A133" s="40" t="s">
        <v>144</v>
      </c>
      <c r="B133" s="43">
        <f>VLOOKUP(A133,[2]ticket_pivot!$A$6:$V$127,2,FALSE)</f>
        <v>10759227.55</v>
      </c>
      <c r="C133" s="43">
        <f>VLOOKUP(A133,[2]ticket_pivot!$A$6:$V$127,3,FALSE)</f>
        <v>10233897.17</v>
      </c>
      <c r="D133" s="44">
        <f t="shared" si="8"/>
        <v>0.951173968804108</v>
      </c>
      <c r="E133" s="43">
        <f>VLOOKUP(A133,[2]ticket_pivot!$A$6:$V$127,4,FALSE)</f>
        <v>10226120.52</v>
      </c>
      <c r="F133" s="44">
        <f t="shared" si="9"/>
        <v>0.999240108643773</v>
      </c>
      <c r="G133" s="43">
        <f>VLOOKUP(A133,[2]Sheet12!$A$5:$G$125,2,FALSE)</f>
        <v>136168511.49</v>
      </c>
      <c r="H133" s="43"/>
      <c r="I133" s="44">
        <f t="shared" si="10"/>
        <v>0</v>
      </c>
      <c r="J133" s="43"/>
      <c r="K133" s="44">
        <f t="shared" si="11"/>
        <v>0</v>
      </c>
    </row>
    <row r="134" spans="1:11">
      <c r="A134" s="40" t="s">
        <v>145</v>
      </c>
      <c r="B134" s="43">
        <f>VLOOKUP(A134,[2]ticket_pivot!$A$6:$V$127,2,FALSE)</f>
        <v>10299570.49</v>
      </c>
      <c r="C134" s="43">
        <f>VLOOKUP(A134,[2]ticket_pivot!$A$6:$V$127,3,FALSE)</f>
        <v>10059591.56</v>
      </c>
      <c r="D134" s="44">
        <f t="shared" si="8"/>
        <v>0.976700103151583</v>
      </c>
      <c r="E134" s="43">
        <f>VLOOKUP(A134,[2]ticket_pivot!$A$6:$V$127,4,FALSE)</f>
        <v>10050946.89</v>
      </c>
      <c r="F134" s="44">
        <f t="shared" si="9"/>
        <v>0.999140653977009</v>
      </c>
      <c r="G134" s="43">
        <f>VLOOKUP(A134,[2]Sheet12!$A$5:$G$125,2,FALSE)</f>
        <v>147661740.81</v>
      </c>
      <c r="H134" s="43"/>
      <c r="I134" s="44">
        <f t="shared" si="10"/>
        <v>0</v>
      </c>
      <c r="J134" s="43"/>
      <c r="K134" s="44">
        <f t="shared" si="11"/>
        <v>0</v>
      </c>
    </row>
    <row r="135" spans="1:11">
      <c r="A135" s="40" t="s">
        <v>146</v>
      </c>
      <c r="B135" s="41">
        <f>VLOOKUP(A135,[2]ticket_pivot!$A$6:$V$127,2,FALSE)</f>
        <v>4976359.97</v>
      </c>
      <c r="C135" s="41">
        <f>VLOOKUP(A135,[2]ticket_pivot!$A$6:$V$127,3,FALSE)</f>
        <v>4557708.57</v>
      </c>
      <c r="D135" s="42">
        <f t="shared" si="8"/>
        <v>0.915871962132193</v>
      </c>
      <c r="E135" s="41">
        <f>VLOOKUP(A135,[2]ticket_pivot!$A$6:$V$127,4,FALSE)</f>
        <v>4552538.2</v>
      </c>
      <c r="F135" s="42">
        <f t="shared" si="9"/>
        <v>0.99886557687474</v>
      </c>
      <c r="G135" s="41">
        <f>VLOOKUP(A135,[2]Sheet12!$A$5:$G$125,2,FALSE)</f>
        <v>74698129.31</v>
      </c>
      <c r="H135" s="41"/>
      <c r="I135" s="42">
        <f t="shared" si="10"/>
        <v>0</v>
      </c>
      <c r="J135" s="41">
        <f>VLOOKUP(A135,[2]PAR!$A$5:$H$120,2,FALSE)</f>
        <v>647716.9</v>
      </c>
      <c r="K135" s="42">
        <f t="shared" si="11"/>
        <v>0.00867112611765618</v>
      </c>
    </row>
    <row r="136" spans="1:11">
      <c r="A136" s="40" t="s">
        <v>147</v>
      </c>
      <c r="B136" s="43">
        <f>VLOOKUP(A136,[2]ticket_pivot!$A$6:$V$127,2,FALSE)</f>
        <v>9766122.60000001</v>
      </c>
      <c r="C136" s="43">
        <f>VLOOKUP(A136,[2]ticket_pivot!$A$6:$V$127,3,FALSE)</f>
        <v>9230923.66</v>
      </c>
      <c r="D136" s="44">
        <f t="shared" si="8"/>
        <v>0.945198420916813</v>
      </c>
      <c r="E136" s="43">
        <f>VLOOKUP(A136,[2]ticket_pivot!$A$6:$V$127,4,FALSE)</f>
        <v>9124498.23</v>
      </c>
      <c r="F136" s="44">
        <f t="shared" si="9"/>
        <v>0.988470771298741</v>
      </c>
      <c r="G136" s="43">
        <f>VLOOKUP(A136,[2]Sheet12!$A$5:$G$125,2,FALSE)</f>
        <v>125431716.67</v>
      </c>
      <c r="H136" s="43">
        <f>VLOOKUP(A136,[2]NPL!$A$5:$H$119,2,FALSE)</f>
        <v>1264623.61</v>
      </c>
      <c r="I136" s="44">
        <f t="shared" si="10"/>
        <v>0.0100821677608632</v>
      </c>
      <c r="J136" s="43">
        <f>VLOOKUP(A136,[2]PAR!$A$5:$H$120,2,FALSE)</f>
        <v>1264623.61</v>
      </c>
      <c r="K136" s="44">
        <f t="shared" si="11"/>
        <v>0.0100821677608632</v>
      </c>
    </row>
    <row r="137" spans="1:11">
      <c r="A137" s="45" t="s">
        <v>148</v>
      </c>
      <c r="B137" s="46">
        <f>SUM(B133:B136)</f>
        <v>35801280.61</v>
      </c>
      <c r="C137" s="46">
        <f>SUM(C133:C136)</f>
        <v>34082120.96</v>
      </c>
      <c r="D137" s="47">
        <f t="shared" si="8"/>
        <v>0.951980498442846</v>
      </c>
      <c r="E137" s="46">
        <f>SUM(E133:E136)</f>
        <v>33954103.84</v>
      </c>
      <c r="F137" s="47">
        <f t="shared" si="9"/>
        <v>0.996243862870205</v>
      </c>
      <c r="G137" s="46">
        <f>SUM(G133:G136)</f>
        <v>483960098.28</v>
      </c>
      <c r="H137" s="46">
        <f>SUM(H133:H136)</f>
        <v>1264623.61</v>
      </c>
      <c r="I137" s="47">
        <f t="shared" si="10"/>
        <v>0.00261307412428109</v>
      </c>
      <c r="J137" s="46">
        <f>SUM(J133:J136)</f>
        <v>1912340.51</v>
      </c>
      <c r="K137" s="47">
        <f t="shared" si="11"/>
        <v>0.00395144251932438</v>
      </c>
    </row>
    <row r="138" spans="1:11">
      <c r="A138" s="40" t="s">
        <v>149</v>
      </c>
      <c r="B138" s="43">
        <f>VLOOKUP(A138,[2]ticket_pivot!$A$6:$V$127,2,FALSE)</f>
        <v>12517070.51</v>
      </c>
      <c r="C138" s="43">
        <f>VLOOKUP(A138,[2]ticket_pivot!$A$6:$V$127,3,FALSE)</f>
        <v>11759295.68</v>
      </c>
      <c r="D138" s="44">
        <f t="shared" si="8"/>
        <v>0.939460688553715</v>
      </c>
      <c r="E138" s="43">
        <f>VLOOKUP(A138,[2]ticket_pivot!$A$6:$V$127,4,FALSE)</f>
        <v>11599150.88</v>
      </c>
      <c r="F138" s="44">
        <f t="shared" si="9"/>
        <v>0.986381429266009</v>
      </c>
      <c r="G138" s="43">
        <f>VLOOKUP(A138,[2]Sheet12!$A$5:$G$125,2,FALSE)</f>
        <v>176483568.29</v>
      </c>
      <c r="H138" s="43"/>
      <c r="I138" s="44">
        <f t="shared" si="10"/>
        <v>0</v>
      </c>
      <c r="J138" s="43"/>
      <c r="K138" s="44">
        <f t="shared" si="11"/>
        <v>0</v>
      </c>
    </row>
    <row r="139" spans="1:11">
      <c r="A139" s="40" t="s">
        <v>150</v>
      </c>
      <c r="B139" s="41">
        <f>VLOOKUP(A139,[2]ticket_pivot!$A$6:$V$127,2,FALSE)</f>
        <v>6764340.88</v>
      </c>
      <c r="C139" s="41">
        <f>VLOOKUP(A139,[2]ticket_pivot!$A$6:$V$127,3,FALSE)</f>
        <v>6286688.66</v>
      </c>
      <c r="D139" s="42">
        <f t="shared" si="8"/>
        <v>0.929386731320377</v>
      </c>
      <c r="E139" s="41">
        <f>VLOOKUP(A139,[2]ticket_pivot!$A$6:$V$127,4,FALSE)</f>
        <v>6214636.02</v>
      </c>
      <c r="F139" s="42">
        <f t="shared" si="9"/>
        <v>0.988538856638719</v>
      </c>
      <c r="G139" s="41">
        <f>VLOOKUP(A139,[2]Sheet12!$A$5:$G$125,2,FALSE)</f>
        <v>89221474.21</v>
      </c>
      <c r="H139" s="41"/>
      <c r="I139" s="42">
        <f t="shared" si="10"/>
        <v>0</v>
      </c>
      <c r="J139" s="41"/>
      <c r="K139" s="42">
        <f t="shared" si="11"/>
        <v>0</v>
      </c>
    </row>
    <row r="140" spans="1:11">
      <c r="A140" s="40" t="s">
        <v>151</v>
      </c>
      <c r="B140" s="43">
        <f>VLOOKUP(A140,[2]ticket_pivot!$A$6:$V$127,2,FALSE)</f>
        <v>11921261.07</v>
      </c>
      <c r="C140" s="43">
        <f>VLOOKUP(A140,[2]ticket_pivot!$A$6:$V$127,3,FALSE)</f>
        <v>11641972.3</v>
      </c>
      <c r="D140" s="44">
        <f t="shared" si="8"/>
        <v>0.976572212590593</v>
      </c>
      <c r="E140" s="43">
        <f>VLOOKUP(A140,[2]ticket_pivot!$A$6:$V$127,4,FALSE)</f>
        <v>11572316.8</v>
      </c>
      <c r="F140" s="44">
        <f t="shared" si="9"/>
        <v>0.994016864307434</v>
      </c>
      <c r="G140" s="43">
        <f>VLOOKUP(A140,[2]Sheet12!$A$5:$G$125,2,FALSE)</f>
        <v>156057212.58</v>
      </c>
      <c r="H140" s="43"/>
      <c r="I140" s="44">
        <f t="shared" si="10"/>
        <v>0</v>
      </c>
      <c r="J140" s="43"/>
      <c r="K140" s="44">
        <f t="shared" si="11"/>
        <v>0</v>
      </c>
    </row>
    <row r="141" spans="1:11">
      <c r="A141" s="45" t="s">
        <v>152</v>
      </c>
      <c r="B141" s="46">
        <f>SUM(B138:B140)</f>
        <v>31202672.46</v>
      </c>
      <c r="C141" s="46">
        <f>SUM(C138:C140)</f>
        <v>29687956.64</v>
      </c>
      <c r="D141" s="47">
        <f t="shared" si="8"/>
        <v>0.95145557413578</v>
      </c>
      <c r="E141" s="46">
        <f>SUM(E138:E140)</f>
        <v>29386103.7</v>
      </c>
      <c r="F141" s="47">
        <f t="shared" si="9"/>
        <v>0.989832478413375</v>
      </c>
      <c r="G141" s="46">
        <f>SUM(G138:G140)</f>
        <v>421762255.08</v>
      </c>
      <c r="H141" s="46">
        <f>SUM(H138:H140)</f>
        <v>0</v>
      </c>
      <c r="I141" s="47">
        <f t="shared" si="10"/>
        <v>0</v>
      </c>
      <c r="J141" s="46">
        <f>SUM(J138:J140)</f>
        <v>0</v>
      </c>
      <c r="K141" s="47">
        <f t="shared" si="11"/>
        <v>0</v>
      </c>
    </row>
    <row r="142" spans="1:11">
      <c r="A142" s="40" t="s">
        <v>153</v>
      </c>
      <c r="B142" s="43">
        <f>VLOOKUP(A142,[2]ticket_pivot!$A$6:$V$127,2,FALSE)</f>
        <v>9516615.01</v>
      </c>
      <c r="C142" s="43">
        <f>VLOOKUP(A142,[2]ticket_pivot!$A$6:$V$127,3,FALSE)</f>
        <v>8761254.51</v>
      </c>
      <c r="D142" s="44">
        <f t="shared" si="8"/>
        <v>0.920627187376365</v>
      </c>
      <c r="E142" s="43">
        <f>VLOOKUP(A142,[2]ticket_pivot!$A$6:$V$127,4,FALSE)</f>
        <v>8371917.07</v>
      </c>
      <c r="F142" s="44">
        <f t="shared" si="9"/>
        <v>0.955561450753929</v>
      </c>
      <c r="G142" s="43">
        <f>VLOOKUP(A142,[2]Sheet12!$A$5:$G$125,2,FALSE)</f>
        <v>145936559.13</v>
      </c>
      <c r="H142" s="43"/>
      <c r="I142" s="44">
        <f t="shared" si="10"/>
        <v>0</v>
      </c>
      <c r="J142" s="43">
        <f>VLOOKUP(A142,[2]PAR!$A$5:$H$120,2,FALSE)</f>
        <v>2257986.78</v>
      </c>
      <c r="K142" s="44">
        <f t="shared" si="11"/>
        <v>0.0154723860385703</v>
      </c>
    </row>
    <row r="143" spans="1:11">
      <c r="A143" s="40" t="s">
        <v>154</v>
      </c>
      <c r="B143" s="41">
        <f>VLOOKUP(A143,[2]ticket_pivot!$A$6:$V$127,2,FALSE)</f>
        <v>6321743.51</v>
      </c>
      <c r="C143" s="41">
        <f>VLOOKUP(A143,[2]ticket_pivot!$A$6:$V$127,3,FALSE)</f>
        <v>5795695.33</v>
      </c>
      <c r="D143" s="42">
        <f t="shared" si="8"/>
        <v>0.916787484470403</v>
      </c>
      <c r="E143" s="41">
        <f>VLOOKUP(A143,[2]ticket_pivot!$A$6:$V$127,4,FALSE)</f>
        <v>5768137.04</v>
      </c>
      <c r="F143" s="42">
        <f t="shared" si="9"/>
        <v>0.99524504163334</v>
      </c>
      <c r="G143" s="41">
        <f>VLOOKUP(A143,[2]Sheet12!$A$5:$G$125,2,FALSE)</f>
        <v>97712031.51</v>
      </c>
      <c r="H143" s="41"/>
      <c r="I143" s="42">
        <f t="shared" si="10"/>
        <v>0</v>
      </c>
      <c r="J143" s="41"/>
      <c r="K143" s="42">
        <f t="shared" si="11"/>
        <v>0</v>
      </c>
    </row>
    <row r="144" spans="1:11">
      <c r="A144" s="40" t="s">
        <v>155</v>
      </c>
      <c r="B144" s="41">
        <f>VLOOKUP(A144,[2]ticket_pivot!$A$6:$V$127,2,FALSE)</f>
        <v>9175276.59</v>
      </c>
      <c r="C144" s="41">
        <f>VLOOKUP(A144,[2]ticket_pivot!$A$6:$V$127,3,FALSE)</f>
        <v>10754111.7</v>
      </c>
      <c r="D144" s="42">
        <f t="shared" si="8"/>
        <v>1.17207493360154</v>
      </c>
      <c r="E144" s="41">
        <f>VLOOKUP(A144,[2]ticket_pivot!$A$6:$V$127,4,FALSE)</f>
        <v>8376677.15</v>
      </c>
      <c r="F144" s="42">
        <f t="shared" si="9"/>
        <v>0.778927854171349</v>
      </c>
      <c r="G144" s="41">
        <f>VLOOKUP(A144,[2]Sheet12!$A$5:$G$125,2,FALSE)</f>
        <v>149097497.37</v>
      </c>
      <c r="H144" s="41">
        <f>VLOOKUP(A144,[2]NPL!$A$5:$H$119,2,FALSE)</f>
        <v>720916.59</v>
      </c>
      <c r="I144" s="42">
        <f t="shared" si="10"/>
        <v>0.00483520248640375</v>
      </c>
      <c r="J144" s="41">
        <f>VLOOKUP(A144,[2]PAR!$A$5:$H$120,2,FALSE)</f>
        <v>1612106.06</v>
      </c>
      <c r="K144" s="42">
        <f t="shared" si="11"/>
        <v>0.0108124287022699</v>
      </c>
    </row>
    <row r="145" spans="1:11">
      <c r="A145" s="45" t="s">
        <v>156</v>
      </c>
      <c r="B145" s="46">
        <f>SUM(B142:B144)</f>
        <v>25013635.11</v>
      </c>
      <c r="C145" s="46">
        <f>SUM(C142:C144)</f>
        <v>25311061.54</v>
      </c>
      <c r="D145" s="47">
        <f t="shared" si="8"/>
        <v>1.0118905720297</v>
      </c>
      <c r="E145" s="46">
        <f>SUM(E142:E144)</f>
        <v>22516731.26</v>
      </c>
      <c r="F145" s="47">
        <f t="shared" si="9"/>
        <v>0.889600431195507</v>
      </c>
      <c r="G145" s="46">
        <f>SUM(G142:G144)</f>
        <v>392746088.01</v>
      </c>
      <c r="H145" s="46">
        <f>SUM(H142:H144)</f>
        <v>720916.59</v>
      </c>
      <c r="I145" s="47">
        <f t="shared" si="10"/>
        <v>0.00183557930176416</v>
      </c>
      <c r="J145" s="46">
        <f>SUM(J142:J144)</f>
        <v>3870092.84</v>
      </c>
      <c r="K145" s="47">
        <f t="shared" si="11"/>
        <v>0.00985393097003034</v>
      </c>
    </row>
    <row r="146" spans="1:11">
      <c r="A146" s="48" t="s">
        <v>157</v>
      </c>
      <c r="B146" s="49">
        <f>SUM(B145,B141,B137)</f>
        <v>92017588.18</v>
      </c>
      <c r="C146" s="49">
        <f>SUM(C145,C141,C137)</f>
        <v>89081139.14</v>
      </c>
      <c r="D146" s="50">
        <f t="shared" si="8"/>
        <v>0.968088176422795</v>
      </c>
      <c r="E146" s="49">
        <f>SUM(E145,E141,E137)</f>
        <v>85856938.8</v>
      </c>
      <c r="F146" s="50">
        <f t="shared" si="9"/>
        <v>0.96380602705436</v>
      </c>
      <c r="G146" s="49">
        <f>SUM(G145,G141,G137)</f>
        <v>1298468441.37</v>
      </c>
      <c r="H146" s="49">
        <f>SUM(H145,H141,H137)</f>
        <v>1985540.2</v>
      </c>
      <c r="I146" s="50">
        <f t="shared" si="10"/>
        <v>0.00152914012904702</v>
      </c>
      <c r="J146" s="49">
        <f>SUM(J145,J141,J137)</f>
        <v>5782433.35</v>
      </c>
      <c r="K146" s="50">
        <f t="shared" si="11"/>
        <v>0.00445327215184299</v>
      </c>
    </row>
    <row r="147" spans="1:11">
      <c r="A147" s="40" t="s">
        <v>158</v>
      </c>
      <c r="B147" s="43">
        <f>VLOOKUP(A147,[2]ticket_pivot!$A$6:$V$127,2,FALSE)</f>
        <v>5651854.62</v>
      </c>
      <c r="C147" s="43">
        <f>VLOOKUP(A147,[2]ticket_pivot!$A$6:$V$127,3,FALSE)</f>
        <v>5490335.64</v>
      </c>
      <c r="D147" s="44">
        <f t="shared" si="8"/>
        <v>0.971421950694124</v>
      </c>
      <c r="E147" s="43">
        <f>VLOOKUP(A147,[2]ticket_pivot!$A$6:$V$127,4,FALSE)</f>
        <v>5425560.99</v>
      </c>
      <c r="F147" s="44">
        <f t="shared" si="9"/>
        <v>0.98820206008389</v>
      </c>
      <c r="G147" s="43">
        <f>VLOOKUP(A147,[2]Sheet12!$A$5:$G$125,2,FALSE)</f>
        <v>70397775.12</v>
      </c>
      <c r="H147" s="43"/>
      <c r="I147" s="44">
        <f t="shared" si="10"/>
        <v>0</v>
      </c>
      <c r="J147" s="43">
        <f>VLOOKUP(A147,[2]PAR!$A$5:$H$120,2,FALSE)</f>
        <v>1205946.76</v>
      </c>
      <c r="K147" s="44">
        <f t="shared" si="11"/>
        <v>0.0171304669493367</v>
      </c>
    </row>
    <row r="148" spans="1:11">
      <c r="A148" s="40" t="s">
        <v>159</v>
      </c>
      <c r="B148" s="43">
        <f>VLOOKUP(A148,[2]ticket_pivot!$A$6:$V$127,2,FALSE)</f>
        <v>10092741.76</v>
      </c>
      <c r="C148" s="43">
        <f>VLOOKUP(A148,[2]ticket_pivot!$A$6:$V$127,3,FALSE)</f>
        <v>9696980.28</v>
      </c>
      <c r="D148" s="44">
        <f t="shared" si="8"/>
        <v>0.96078751548281</v>
      </c>
      <c r="E148" s="43">
        <f>VLOOKUP(A148,[2]ticket_pivot!$A$6:$V$127,4,FALSE)</f>
        <v>9371075.73</v>
      </c>
      <c r="F148" s="44">
        <f t="shared" si="9"/>
        <v>0.966391129961131</v>
      </c>
      <c r="G148" s="43">
        <f>VLOOKUP(A148,[2]Sheet12!$A$5:$G$125,2,FALSE)</f>
        <v>142460452.39</v>
      </c>
      <c r="H148" s="43"/>
      <c r="I148" s="44">
        <f t="shared" si="10"/>
        <v>0</v>
      </c>
      <c r="J148" s="43">
        <f>VLOOKUP(A148,[2]PAR!$A$5:$H$120,2,FALSE)</f>
        <v>927385.94</v>
      </c>
      <c r="K148" s="44">
        <f t="shared" si="11"/>
        <v>0.0065097781485432</v>
      </c>
    </row>
    <row r="149" spans="1:11">
      <c r="A149" s="40" t="s">
        <v>160</v>
      </c>
      <c r="B149" s="41">
        <f>VLOOKUP(A149,[2]ticket_pivot!$A$6:$V$127,2,FALSE)</f>
        <v>14849651.45</v>
      </c>
      <c r="C149" s="41">
        <f>VLOOKUP(A149,[2]ticket_pivot!$A$6:$V$127,3,FALSE)</f>
        <v>14414314.15</v>
      </c>
      <c r="D149" s="42">
        <f t="shared" si="8"/>
        <v>0.970683668807593</v>
      </c>
      <c r="E149" s="41">
        <f>VLOOKUP(A149,[2]ticket_pivot!$A$6:$V$127,4,FALSE)</f>
        <v>14313261.26</v>
      </c>
      <c r="F149" s="42">
        <f t="shared" si="9"/>
        <v>0.992989406991661</v>
      </c>
      <c r="G149" s="41">
        <f>VLOOKUP(A149,[2]Sheet12!$A$5:$G$125,2,FALSE)</f>
        <v>193568701.97</v>
      </c>
      <c r="H149" s="41"/>
      <c r="I149" s="42">
        <f t="shared" si="10"/>
        <v>0</v>
      </c>
      <c r="J149" s="41"/>
      <c r="K149" s="42">
        <f t="shared" si="11"/>
        <v>0</v>
      </c>
    </row>
    <row r="150" spans="1:11">
      <c r="A150" s="40" t="s">
        <v>161</v>
      </c>
      <c r="B150" s="43">
        <f>VLOOKUP(A150,[2]ticket_pivot!$A$6:$V$127,2,FALSE)</f>
        <v>11290545.05</v>
      </c>
      <c r="C150" s="43">
        <f>VLOOKUP(A150,[2]ticket_pivot!$A$6:$V$127,3,FALSE)</f>
        <v>11248890.24</v>
      </c>
      <c r="D150" s="44">
        <f t="shared" si="8"/>
        <v>0.996310646668027</v>
      </c>
      <c r="E150" s="43">
        <f>VLOOKUP(A150,[2]ticket_pivot!$A$6:$V$127,4,FALSE)</f>
        <v>11092244.2</v>
      </c>
      <c r="F150" s="44">
        <f t="shared" si="9"/>
        <v>0.986074533873308</v>
      </c>
      <c r="G150" s="43">
        <f>VLOOKUP(A150,[2]Sheet12!$A$5:$G$125,2,FALSE)</f>
        <v>141132867.72</v>
      </c>
      <c r="H150" s="43"/>
      <c r="I150" s="44">
        <f t="shared" si="10"/>
        <v>0</v>
      </c>
      <c r="J150" s="43">
        <f>VLOOKUP(A150,[2]PAR!$A$5:$H$120,2,FALSE)</f>
        <v>811084.44</v>
      </c>
      <c r="K150" s="44">
        <f t="shared" si="11"/>
        <v>0.00574695641846623</v>
      </c>
    </row>
    <row r="151" spans="1:11">
      <c r="A151" s="45" t="s">
        <v>162</v>
      </c>
      <c r="B151" s="46">
        <f>SUM(B147:B150)</f>
        <v>41884792.88</v>
      </c>
      <c r="C151" s="46">
        <f>SUM(C147:C150)</f>
        <v>40850520.31</v>
      </c>
      <c r="D151" s="47">
        <f t="shared" si="8"/>
        <v>0.975306728316332</v>
      </c>
      <c r="E151" s="46">
        <f>SUM(E147:E150)</f>
        <v>40202142.18</v>
      </c>
      <c r="F151" s="47">
        <f t="shared" si="9"/>
        <v>0.984128032517587</v>
      </c>
      <c r="G151" s="46">
        <f>SUM(G147:G150)</f>
        <v>547559797.2</v>
      </c>
      <c r="H151" s="46">
        <f>SUM(H147:H150)</f>
        <v>0</v>
      </c>
      <c r="I151" s="47">
        <f t="shared" si="10"/>
        <v>0</v>
      </c>
      <c r="J151" s="46">
        <f>SUM(J147:J150)</f>
        <v>2944417.14</v>
      </c>
      <c r="K151" s="47">
        <f t="shared" si="11"/>
        <v>0.0053773435432195</v>
      </c>
    </row>
    <row r="152" spans="1:11">
      <c r="A152" s="40" t="s">
        <v>163</v>
      </c>
      <c r="B152" s="43">
        <f>VLOOKUP(A152,[2]ticket_pivot!$A$6:$V$127,2,FALSE)</f>
        <v>9407248.54</v>
      </c>
      <c r="C152" s="43">
        <f>VLOOKUP(A152,[2]ticket_pivot!$A$6:$V$127,3,FALSE)</f>
        <v>8974986.62</v>
      </c>
      <c r="D152" s="44">
        <f t="shared" si="8"/>
        <v>0.954050122290061</v>
      </c>
      <c r="E152" s="43">
        <f>VLOOKUP(A152,[2]ticket_pivot!$A$6:$V$127,4,FALSE)</f>
        <v>8866265.82</v>
      </c>
      <c r="F152" s="44">
        <f t="shared" si="9"/>
        <v>0.987886243779158</v>
      </c>
      <c r="G152" s="43">
        <f>VLOOKUP(A152,[2]Sheet12!$A$5:$G$125,2,FALSE)</f>
        <v>134190565.84</v>
      </c>
      <c r="H152" s="43">
        <f>VLOOKUP(A152,[2]NPL!$A$5:$H$119,2,FALSE)</f>
        <v>521856.35</v>
      </c>
      <c r="I152" s="44">
        <f t="shared" si="10"/>
        <v>0.00388891981141377</v>
      </c>
      <c r="J152" s="43">
        <f>VLOOKUP(A152,[2]PAR!$A$5:$H$120,2,FALSE)</f>
        <v>521856.35</v>
      </c>
      <c r="K152" s="44">
        <f t="shared" si="11"/>
        <v>0.00388891981141377</v>
      </c>
    </row>
    <row r="153" spans="1:11">
      <c r="A153" s="40" t="s">
        <v>164</v>
      </c>
      <c r="B153" s="43">
        <f>VLOOKUP(A153,[2]ticket_pivot!$A$6:$V$127,2,FALSE)</f>
        <v>12360344.1</v>
      </c>
      <c r="C153" s="43">
        <f>VLOOKUP(A153,[2]ticket_pivot!$A$6:$V$127,3,FALSE)</f>
        <v>11705255.03</v>
      </c>
      <c r="D153" s="44">
        <f t="shared" ref="D153:D186" si="12">IFERROR(C153/B153,"")</f>
        <v>0.94700074167029</v>
      </c>
      <c r="E153" s="43">
        <f>VLOOKUP(A153,[2]ticket_pivot!$A$6:$V$127,4,FALSE)</f>
        <v>11559685.39</v>
      </c>
      <c r="F153" s="44">
        <f t="shared" ref="F153:F186" si="13">IFERROR(E153/C153,"")</f>
        <v>0.987563736148686</v>
      </c>
      <c r="G153" s="43">
        <f>VLOOKUP(A153,[2]Sheet12!$A$5:$G$125,2,FALSE)</f>
        <v>159769600.18</v>
      </c>
      <c r="H153" s="43"/>
      <c r="I153" s="44">
        <f t="shared" si="10"/>
        <v>0</v>
      </c>
      <c r="J153" s="43">
        <f>VLOOKUP(A153,[2]PAR!$A$5:$H$120,2,FALSE)</f>
        <v>2123618.03</v>
      </c>
      <c r="K153" s="44">
        <f t="shared" si="11"/>
        <v>0.0132917527965738</v>
      </c>
    </row>
    <row r="154" spans="1:11">
      <c r="A154" s="40" t="s">
        <v>165</v>
      </c>
      <c r="B154" s="41">
        <f>VLOOKUP(A154,[2]ticket_pivot!$A$6:$V$127,2,FALSE)</f>
        <v>14031401.09</v>
      </c>
      <c r="C154" s="41">
        <f>VLOOKUP(A154,[2]ticket_pivot!$A$6:$V$127,3,FALSE)</f>
        <v>13489571.9</v>
      </c>
      <c r="D154" s="42">
        <f t="shared" si="12"/>
        <v>0.961384526995942</v>
      </c>
      <c r="E154" s="41">
        <f>VLOOKUP(A154,[2]ticket_pivot!$A$6:$V$127,4,FALSE)</f>
        <v>13296662.89</v>
      </c>
      <c r="F154" s="42">
        <f t="shared" si="13"/>
        <v>0.98569939717657</v>
      </c>
      <c r="G154" s="41">
        <f>VLOOKUP(A154,[2]Sheet12!$A$5:$G$125,2,FALSE)</f>
        <v>189469188.58</v>
      </c>
      <c r="H154" s="41"/>
      <c r="I154" s="42">
        <f t="shared" si="10"/>
        <v>0</v>
      </c>
      <c r="J154" s="41">
        <f>VLOOKUP(A154,[2]PAR!$A$5:$H$120,2,FALSE)</f>
        <v>2418053.93</v>
      </c>
      <c r="K154" s="42">
        <f t="shared" si="11"/>
        <v>0.0127622541064455</v>
      </c>
    </row>
    <row r="155" spans="1:11">
      <c r="A155" s="40" t="s">
        <v>166</v>
      </c>
      <c r="B155" s="43">
        <f>VLOOKUP(A155,[2]ticket_pivot!$A$6:$V$127,2,FALSE)</f>
        <v>13148521.91</v>
      </c>
      <c r="C155" s="43">
        <f>VLOOKUP(A155,[2]ticket_pivot!$A$6:$V$127,3,FALSE)</f>
        <v>11865166.54</v>
      </c>
      <c r="D155" s="44">
        <f t="shared" si="12"/>
        <v>0.902395464769012</v>
      </c>
      <c r="E155" s="43">
        <f>VLOOKUP(A155,[2]ticket_pivot!$A$6:$V$127,4,FALSE)</f>
        <v>11800439.46</v>
      </c>
      <c r="F155" s="44">
        <f t="shared" si="13"/>
        <v>0.994544781164108</v>
      </c>
      <c r="G155" s="43">
        <f>VLOOKUP(A155,[2]Sheet12!$A$5:$G$125,2,FALSE)</f>
        <v>165284196.8</v>
      </c>
      <c r="H155" s="43">
        <f>VLOOKUP(A155,[2]NPL!$A$5:$H$119,2,FALSE)</f>
        <v>2386120.18</v>
      </c>
      <c r="I155" s="44">
        <f t="shared" si="10"/>
        <v>0.0144364689800761</v>
      </c>
      <c r="J155" s="43">
        <f>VLOOKUP(A155,[2]PAR!$A$5:$H$120,2,FALSE)</f>
        <v>2876546.24</v>
      </c>
      <c r="K155" s="44">
        <f t="shared" si="11"/>
        <v>0.0174036374662045</v>
      </c>
    </row>
    <row r="156" spans="1:11">
      <c r="A156" s="45" t="s">
        <v>167</v>
      </c>
      <c r="B156" s="46">
        <f>SUM(B152:B155)</f>
        <v>48947515.64</v>
      </c>
      <c r="C156" s="46">
        <f>SUM(C152:C155)</f>
        <v>46034980.09</v>
      </c>
      <c r="D156" s="47">
        <f t="shared" si="12"/>
        <v>0.940496764505451</v>
      </c>
      <c r="E156" s="46">
        <f>SUM(E152:E155)</f>
        <v>45523053.56</v>
      </c>
      <c r="F156" s="47">
        <f t="shared" si="13"/>
        <v>0.988879618737769</v>
      </c>
      <c r="G156" s="46">
        <f>SUM(G152:G155)</f>
        <v>648713551.4</v>
      </c>
      <c r="H156" s="46">
        <f>SUM(H152:H155)</f>
        <v>2907976.53</v>
      </c>
      <c r="I156" s="47">
        <f t="shared" si="10"/>
        <v>0.00448268195372865</v>
      </c>
      <c r="J156" s="46">
        <f>SUM(J152:J155)</f>
        <v>7940074.55</v>
      </c>
      <c r="K156" s="47">
        <f t="shared" si="11"/>
        <v>0.0122397235773238</v>
      </c>
    </row>
    <row r="157" spans="1:11">
      <c r="A157" s="40" t="s">
        <v>168</v>
      </c>
      <c r="B157" s="43">
        <f>VLOOKUP(A157,[2]ticket_pivot!$A$4:$V$127,2,FALSE)</f>
        <v>8441544.91</v>
      </c>
      <c r="C157" s="43">
        <f>VLOOKUP(A157,[2]ticket_pivot!$A$4:$V$127,3,FALSE)</f>
        <v>8266131.08</v>
      </c>
      <c r="D157" s="44">
        <f t="shared" si="12"/>
        <v>0.979220174521348</v>
      </c>
      <c r="E157" s="43">
        <f>VLOOKUP(A157,[2]ticket_pivot!$A$4:$V$127,4,FALSE)</f>
        <v>8232068.94</v>
      </c>
      <c r="F157" s="44">
        <f t="shared" si="13"/>
        <v>0.995879312864707</v>
      </c>
      <c r="G157" s="43">
        <f>VLOOKUP(A157,[2]Sheet12!$A$5:$G$125,2,FALSE)</f>
        <v>121548266.8</v>
      </c>
      <c r="H157" s="43"/>
      <c r="I157" s="44">
        <f t="shared" si="10"/>
        <v>0</v>
      </c>
      <c r="J157" s="43">
        <f>VLOOKUP(A157,[2]PAR!$A$5:$H$120,2,FALSE)</f>
        <v>779349.74</v>
      </c>
      <c r="K157" s="44">
        <f t="shared" si="11"/>
        <v>0.00641185399444955</v>
      </c>
    </row>
    <row r="158" spans="1:11">
      <c r="A158" s="40" t="s">
        <v>169</v>
      </c>
      <c r="B158" s="41">
        <f>VLOOKUP(A158,[2]ticket_pivot!$A$6:$V$127,2,FALSE)</f>
        <v>6903213.65</v>
      </c>
      <c r="C158" s="41">
        <f>VLOOKUP(A158,[2]ticket_pivot!$A$6:$V$127,3,FALSE)</f>
        <v>6769771.27999999</v>
      </c>
      <c r="D158" s="42">
        <f t="shared" si="12"/>
        <v>0.980669529183701</v>
      </c>
      <c r="E158" s="41">
        <f>VLOOKUP(A158,[2]ticket_pivot!$A$6:$V$127,4,FALSE)</f>
        <v>6764505.33</v>
      </c>
      <c r="F158" s="42">
        <f t="shared" si="13"/>
        <v>0.999222137679074</v>
      </c>
      <c r="G158" s="41">
        <f>VLOOKUP(A158,[2]Sheet12!$A$5:$G$125,2,FALSE)</f>
        <v>95783969.18</v>
      </c>
      <c r="H158" s="41"/>
      <c r="I158" s="42">
        <f t="shared" si="10"/>
        <v>0</v>
      </c>
      <c r="J158" s="41"/>
      <c r="K158" s="42">
        <f t="shared" si="11"/>
        <v>0</v>
      </c>
    </row>
    <row r="159" spans="1:11">
      <c r="A159" s="40" t="s">
        <v>170</v>
      </c>
      <c r="B159" s="41">
        <f>VLOOKUP(A159,[2]ticket_pivot!$A$6:$V$127,2,FALSE)</f>
        <v>4566046.43</v>
      </c>
      <c r="C159" s="41">
        <f>VLOOKUP(A159,[2]ticket_pivot!$A$6:$V$127,3,FALSE)</f>
        <v>3586469.67</v>
      </c>
      <c r="D159" s="42">
        <f t="shared" si="12"/>
        <v>0.785465002378436</v>
      </c>
      <c r="E159" s="41">
        <f>VLOOKUP(A159,[2]ticket_pivot!$A$6:$V$127,4,FALSE)</f>
        <v>3495458.72</v>
      </c>
      <c r="F159" s="42">
        <f t="shared" si="13"/>
        <v>0.974623806033748</v>
      </c>
      <c r="G159" s="41">
        <f>VLOOKUP(A159,[2]Sheet12!$A$5:$G$125,2,FALSE)</f>
        <v>68438730.58</v>
      </c>
      <c r="H159" s="41">
        <f>VLOOKUP(A159,[2]NPL!$A$5:$H$119,2,FALSE)</f>
        <v>1473758.34</v>
      </c>
      <c r="I159" s="42">
        <f t="shared" si="10"/>
        <v>0.021533981234168</v>
      </c>
      <c r="J159" s="41">
        <f>VLOOKUP(A159,[2]PAR!$A$5:$H$120,2,FALSE)</f>
        <v>1473758.34</v>
      </c>
      <c r="K159" s="42">
        <f t="shared" si="11"/>
        <v>0.021533981234168</v>
      </c>
    </row>
    <row r="160" spans="1:11">
      <c r="A160" s="45" t="s">
        <v>171</v>
      </c>
      <c r="B160" s="46">
        <f>SUM(B157:B159)</f>
        <v>19910804.99</v>
      </c>
      <c r="C160" s="46">
        <f>SUM(C157:C159)</f>
        <v>18622372.03</v>
      </c>
      <c r="D160" s="47">
        <f t="shared" si="12"/>
        <v>0.935289760476932</v>
      </c>
      <c r="E160" s="46">
        <f>SUM(E157:E159)</f>
        <v>18492032.99</v>
      </c>
      <c r="F160" s="47">
        <f t="shared" si="13"/>
        <v>0.993000943177914</v>
      </c>
      <c r="G160" s="46">
        <f>SUM(G157:G159)</f>
        <v>285770966.56</v>
      </c>
      <c r="H160" s="46">
        <f>SUM(H157:H159)</f>
        <v>1473758.34</v>
      </c>
      <c r="I160" s="47">
        <f t="shared" si="10"/>
        <v>0.00515713110306667</v>
      </c>
      <c r="J160" s="46">
        <f>SUM(J157:J159)</f>
        <v>2253108.08</v>
      </c>
      <c r="K160" s="47">
        <f t="shared" si="11"/>
        <v>0.0078843141664181</v>
      </c>
    </row>
    <row r="161" spans="1:11">
      <c r="A161" s="48" t="s">
        <v>172</v>
      </c>
      <c r="B161" s="49">
        <f>SUM(B160,B156,B151)</f>
        <v>110743113.51</v>
      </c>
      <c r="C161" s="49">
        <f>SUM(C160,C156,C151)</f>
        <v>105507872.43</v>
      </c>
      <c r="D161" s="50">
        <f t="shared" si="12"/>
        <v>0.952726260675999</v>
      </c>
      <c r="E161" s="49">
        <f>SUM(E160,E156,E151)</f>
        <v>104217228.73</v>
      </c>
      <c r="F161" s="50">
        <f t="shared" si="13"/>
        <v>0.9877673232312</v>
      </c>
      <c r="G161" s="49">
        <f>SUM(G160,G156,G151)</f>
        <v>1482044315.16</v>
      </c>
      <c r="H161" s="49">
        <f>SUM(H160,H156,H151)</f>
        <v>4381734.87</v>
      </c>
      <c r="I161" s="50">
        <f t="shared" si="10"/>
        <v>0.00295654780709236</v>
      </c>
      <c r="J161" s="49">
        <f>SUM(J160,J156,J151)</f>
        <v>13137599.77</v>
      </c>
      <c r="K161" s="50">
        <f t="shared" si="11"/>
        <v>0.00886451210372996</v>
      </c>
    </row>
    <row r="162" spans="1:11">
      <c r="A162" s="51" t="s">
        <v>173</v>
      </c>
      <c r="B162" s="52">
        <f>SUM(B161,B146,B132)</f>
        <v>319466917.49</v>
      </c>
      <c r="C162" s="52">
        <f>SUM(C161,C146,C132)</f>
        <v>301131159.69</v>
      </c>
      <c r="D162" s="53">
        <f t="shared" si="12"/>
        <v>0.942605143768685</v>
      </c>
      <c r="E162" s="52">
        <f>SUM(E161,E146,E132)</f>
        <v>295462192.22</v>
      </c>
      <c r="F162" s="53">
        <f t="shared" si="13"/>
        <v>0.981174424208256</v>
      </c>
      <c r="G162" s="52">
        <f>SUM(G161,G146,G132)</f>
        <v>4491124612.14</v>
      </c>
      <c r="H162" s="52">
        <f>SUM(H161,H146,H132)</f>
        <v>10001277.18</v>
      </c>
      <c r="I162" s="53">
        <f t="shared" si="10"/>
        <v>0.00222689816999632</v>
      </c>
      <c r="J162" s="52">
        <f>SUM(J161,J146,J132)</f>
        <v>45815768.46</v>
      </c>
      <c r="K162" s="53">
        <f t="shared" si="11"/>
        <v>0.0102014021913698</v>
      </c>
    </row>
    <row r="163" spans="1:11">
      <c r="A163" s="40" t="s">
        <v>174</v>
      </c>
      <c r="B163" s="43">
        <f>VLOOKUP(A163,[2]ticket_pivot!$A$6:$V$127,2,FALSE)</f>
        <v>14800069.67</v>
      </c>
      <c r="C163" s="43">
        <f>VLOOKUP(A163,[2]ticket_pivot!$A$6:$V$127,3,FALSE)</f>
        <v>12586231.17</v>
      </c>
      <c r="D163" s="44">
        <f t="shared" si="12"/>
        <v>0.850417021719331</v>
      </c>
      <c r="E163" s="43">
        <f>VLOOKUP(A163,[2]ticket_pivot!$A$6:$V$127,4,FALSE)</f>
        <v>11966620.99</v>
      </c>
      <c r="F163" s="44">
        <f t="shared" si="13"/>
        <v>0.950770792969632</v>
      </c>
      <c r="G163" s="43">
        <f>VLOOKUP(A163,[2]Sheet12!$A$5:$G$125,2,FALSE)</f>
        <v>157062025.13</v>
      </c>
      <c r="H163" s="43">
        <f>VLOOKUP(A163,[2]NPL!$A$5:$H$119,2,FALSE)</f>
        <v>12789704.92</v>
      </c>
      <c r="I163" s="44">
        <f t="shared" si="10"/>
        <v>0.0814309181956235</v>
      </c>
      <c r="J163" s="43">
        <f>VLOOKUP(A163,[2]PAR!$A$5:$H$120,2,FALSE)</f>
        <v>12789704.92</v>
      </c>
      <c r="K163" s="44">
        <f t="shared" si="11"/>
        <v>0.0814309181956235</v>
      </c>
    </row>
    <row r="164" spans="1:11">
      <c r="A164" s="40" t="s">
        <v>175</v>
      </c>
      <c r="B164" s="41">
        <f>VLOOKUP(A164,[2]ticket_pivot!$A$6:$V$127,2,FALSE)</f>
        <v>17282532.29</v>
      </c>
      <c r="C164" s="41">
        <f>VLOOKUP(A164,[2]ticket_pivot!$A$6:$V$127,3,FALSE)</f>
        <v>16894326.79</v>
      </c>
      <c r="D164" s="42">
        <f t="shared" si="12"/>
        <v>0.977537695663695</v>
      </c>
      <c r="E164" s="41">
        <f>VLOOKUP(A164,[2]ticket_pivot!$A$6:$V$127,4,FALSE)</f>
        <v>16363533.71</v>
      </c>
      <c r="F164" s="42">
        <f t="shared" si="13"/>
        <v>0.96858157850278</v>
      </c>
      <c r="G164" s="41">
        <f>VLOOKUP(A164,[2]Sheet12!$A$5:$G$125,2,FALSE)</f>
        <v>217285660.23</v>
      </c>
      <c r="H164" s="41"/>
      <c r="I164" s="42">
        <f t="shared" si="10"/>
        <v>0</v>
      </c>
      <c r="J164" s="41">
        <f>VLOOKUP(A164,[2]PAR!$A$5:$H$120,2,FALSE)</f>
        <v>3422359.53</v>
      </c>
      <c r="K164" s="42">
        <f t="shared" si="11"/>
        <v>0.0157505080012063</v>
      </c>
    </row>
    <row r="165" spans="1:11">
      <c r="A165" s="45" t="s">
        <v>176</v>
      </c>
      <c r="B165" s="46">
        <f>SUM(B163:B164)</f>
        <v>32082601.96</v>
      </c>
      <c r="C165" s="46">
        <f>SUM(C163:C164)</f>
        <v>29480557.96</v>
      </c>
      <c r="D165" s="47">
        <f t="shared" si="12"/>
        <v>0.918895481007302</v>
      </c>
      <c r="E165" s="46">
        <f>SUM(E163:E164)</f>
        <v>28330154.7</v>
      </c>
      <c r="F165" s="47">
        <f t="shared" si="13"/>
        <v>0.960977561497958</v>
      </c>
      <c r="G165" s="46">
        <f>SUM(G163:G164)</f>
        <v>374347685.36</v>
      </c>
      <c r="H165" s="46">
        <f>SUM(H163:H164)</f>
        <v>12789704.92</v>
      </c>
      <c r="I165" s="47">
        <f t="shared" si="10"/>
        <v>0.0341653105393198</v>
      </c>
      <c r="J165" s="46">
        <f>SUM(J163:J164)</f>
        <v>16212064.45</v>
      </c>
      <c r="K165" s="47">
        <f t="shared" si="11"/>
        <v>0.0433075055196596</v>
      </c>
    </row>
    <row r="166" spans="1:11">
      <c r="A166" s="40" t="s">
        <v>177</v>
      </c>
      <c r="B166" s="43">
        <f>VLOOKUP(A166,[2]ticket_pivot!$A$6:$V$127,2,FALSE)</f>
        <v>11896266.95</v>
      </c>
      <c r="C166" s="43">
        <f>VLOOKUP(A166,[2]ticket_pivot!$A$6:$V$127,3,FALSE)</f>
        <v>10476633.54</v>
      </c>
      <c r="D166" s="44">
        <f t="shared" si="12"/>
        <v>0.880665639400434</v>
      </c>
      <c r="E166" s="43">
        <f>VLOOKUP(A166,[2]ticket_pivot!$A$6:$V$127,4,FALSE)</f>
        <v>10459625.89</v>
      </c>
      <c r="F166" s="44">
        <f t="shared" si="13"/>
        <v>0.998376611157099</v>
      </c>
      <c r="G166" s="43">
        <f>VLOOKUP(A166,[2]Sheet12!$A$5:$G$125,2,FALSE)</f>
        <v>156809134.5</v>
      </c>
      <c r="H166" s="43">
        <f>VLOOKUP(A166,[2]NPL!$A$5:$H$119,2,FALSE)</f>
        <v>1282294.74</v>
      </c>
      <c r="I166" s="44">
        <f t="shared" si="10"/>
        <v>0.00817742374568109</v>
      </c>
      <c r="J166" s="43">
        <f>VLOOKUP(A166,[2]PAR!$A$5:$H$120,2,FALSE)</f>
        <v>2411220.88</v>
      </c>
      <c r="K166" s="44">
        <f t="shared" si="11"/>
        <v>0.0153767883974897</v>
      </c>
    </row>
    <row r="167" spans="1:11">
      <c r="A167" s="40" t="s">
        <v>178</v>
      </c>
      <c r="B167" s="43">
        <f>VLOOKUP(A167,[2]ticket_pivot!$A$6:$V$127,2,FALSE)</f>
        <v>7162419.9</v>
      </c>
      <c r="C167" s="43">
        <f>VLOOKUP(A167,[2]ticket_pivot!$A$6:$V$127,3,FALSE)</f>
        <v>7172699.81</v>
      </c>
      <c r="D167" s="44">
        <f t="shared" si="12"/>
        <v>1.00143525653948</v>
      </c>
      <c r="E167" s="43">
        <f>VLOOKUP(A167,[2]ticket_pivot!$A$6:$V$127,4,FALSE)</f>
        <v>7162419.9</v>
      </c>
      <c r="F167" s="44">
        <f t="shared" si="13"/>
        <v>0.998566800469515</v>
      </c>
      <c r="G167" s="43">
        <f>VLOOKUP(A167,[2]Sheet12!$A$5:$G$125,2,FALSE)</f>
        <v>101869719.16</v>
      </c>
      <c r="H167" s="43"/>
      <c r="I167" s="44">
        <f t="shared" si="10"/>
        <v>0</v>
      </c>
      <c r="J167" s="43"/>
      <c r="K167" s="44">
        <f t="shared" si="11"/>
        <v>0</v>
      </c>
    </row>
    <row r="168" spans="1:11">
      <c r="A168" s="40" t="s">
        <v>179</v>
      </c>
      <c r="B168" s="41">
        <f>VLOOKUP(A168,[2]ticket_pivot!$A$6:$V$127,2,FALSE)</f>
        <v>10076864.28</v>
      </c>
      <c r="C168" s="41">
        <f>VLOOKUP(A168,[2]ticket_pivot!$A$6:$V$127,3,FALSE)</f>
        <v>10143794.43</v>
      </c>
      <c r="D168" s="42">
        <f t="shared" si="12"/>
        <v>1.00664196203702</v>
      </c>
      <c r="E168" s="41">
        <f>VLOOKUP(A168,[2]ticket_pivot!$A$6:$V$127,4,FALSE)</f>
        <v>10054332.94</v>
      </c>
      <c r="F168" s="42">
        <f t="shared" si="13"/>
        <v>0.991180668080633</v>
      </c>
      <c r="G168" s="41">
        <f>VLOOKUP(A168,[2]Sheet12!$A$5:$G$125,2,FALSE)</f>
        <v>140393554.72</v>
      </c>
      <c r="H168" s="41"/>
      <c r="I168" s="42">
        <f t="shared" si="10"/>
        <v>0</v>
      </c>
      <c r="J168" s="41"/>
      <c r="K168" s="42">
        <f t="shared" si="11"/>
        <v>0</v>
      </c>
    </row>
    <row r="169" spans="1:11">
      <c r="A169" s="45" t="s">
        <v>180</v>
      </c>
      <c r="B169" s="46">
        <f>SUM(B166:B168)</f>
        <v>29135551.13</v>
      </c>
      <c r="C169" s="46">
        <f>SUM(C166:C168)</f>
        <v>27793127.78</v>
      </c>
      <c r="D169" s="47">
        <f t="shared" si="12"/>
        <v>0.953924902809965</v>
      </c>
      <c r="E169" s="46">
        <f>SUM(E166:E168)</f>
        <v>27676378.73</v>
      </c>
      <c r="F169" s="47">
        <f t="shared" si="13"/>
        <v>0.9957993554765</v>
      </c>
      <c r="G169" s="46">
        <f>SUM(G166:G168)</f>
        <v>399072408.38</v>
      </c>
      <c r="H169" s="46">
        <f>SUM(H166:H168)</f>
        <v>1282294.74</v>
      </c>
      <c r="I169" s="47">
        <f t="shared" si="10"/>
        <v>0.00321318816604076</v>
      </c>
      <c r="J169" s="46">
        <f>SUM(J166:J168)</f>
        <v>2411220.88</v>
      </c>
      <c r="K169" s="47">
        <f t="shared" si="11"/>
        <v>0.00604206361895112</v>
      </c>
    </row>
    <row r="170" spans="1:11">
      <c r="A170" s="40" t="s">
        <v>181</v>
      </c>
      <c r="B170" s="43">
        <f>VLOOKUP(A170,[2]ticket_pivot!$A$6:$V$127,2,FALSE)</f>
        <v>5445396.81</v>
      </c>
      <c r="C170" s="43">
        <f>VLOOKUP(A170,[2]ticket_pivot!$A$6:$V$127,3,FALSE)</f>
        <v>5446921.24</v>
      </c>
      <c r="D170" s="44">
        <f t="shared" si="12"/>
        <v>1.00027994837717</v>
      </c>
      <c r="E170" s="43">
        <f>VLOOKUP(A170,[2]ticket_pivot!$A$6:$V$127,4,FALSE)</f>
        <v>5443344.71</v>
      </c>
      <c r="F170" s="44">
        <f t="shared" si="13"/>
        <v>0.999343385034883</v>
      </c>
      <c r="G170" s="43">
        <f>VLOOKUP(A170,[2]Sheet12!$A$5:$G$125,2,FALSE)</f>
        <v>60816462.2</v>
      </c>
      <c r="H170" s="43"/>
      <c r="I170" s="44">
        <f t="shared" si="10"/>
        <v>0</v>
      </c>
      <c r="J170" s="43"/>
      <c r="K170" s="44">
        <f t="shared" si="11"/>
        <v>0</v>
      </c>
    </row>
    <row r="171" spans="1:11">
      <c r="A171" s="40" t="s">
        <v>182</v>
      </c>
      <c r="B171" s="41">
        <f>VLOOKUP(A171,[2]ticket_pivot!$A$6:$V$127,2,FALSE)</f>
        <v>9335334.31</v>
      </c>
      <c r="C171" s="41">
        <f>VLOOKUP(A171,[2]ticket_pivot!$A$6:$V$127,3,FALSE)</f>
        <v>8846181.85</v>
      </c>
      <c r="D171" s="42">
        <f t="shared" si="12"/>
        <v>0.947602041474185</v>
      </c>
      <c r="E171" s="41">
        <f>VLOOKUP(A171,[2]ticket_pivot!$A$6:$V$127,4,FALSE)</f>
        <v>8838621.39</v>
      </c>
      <c r="F171" s="42">
        <f t="shared" si="13"/>
        <v>0.999145342009898</v>
      </c>
      <c r="G171" s="41">
        <f>VLOOKUP(A171,[2]Sheet12!$A$5:$G$125,2,FALSE)</f>
        <v>141992011.33</v>
      </c>
      <c r="H171" s="41"/>
      <c r="I171" s="42">
        <f t="shared" si="10"/>
        <v>0</v>
      </c>
      <c r="J171" s="41"/>
      <c r="K171" s="42">
        <f t="shared" si="11"/>
        <v>0</v>
      </c>
    </row>
    <row r="172" spans="1:11">
      <c r="A172" s="45" t="s">
        <v>183</v>
      </c>
      <c r="B172" s="46">
        <f>SUM(B170:B171)</f>
        <v>14780731.12</v>
      </c>
      <c r="C172" s="46">
        <f>SUM(C170:C171)</f>
        <v>14293103.09</v>
      </c>
      <c r="D172" s="47">
        <f t="shared" si="12"/>
        <v>0.967009207728555</v>
      </c>
      <c r="E172" s="46">
        <f>SUM(E170:E171)</f>
        <v>14281966.1</v>
      </c>
      <c r="F172" s="47">
        <f t="shared" si="13"/>
        <v>0.999220813707851</v>
      </c>
      <c r="G172" s="46">
        <f>SUM(G170:G171)</f>
        <v>202808473.53</v>
      </c>
      <c r="H172" s="46">
        <f>SUM(H170:H171)</f>
        <v>0</v>
      </c>
      <c r="I172" s="47">
        <f t="shared" si="10"/>
        <v>0</v>
      </c>
      <c r="J172" s="46">
        <f>SUM(J170:J171)</f>
        <v>0</v>
      </c>
      <c r="K172" s="47">
        <f t="shared" si="11"/>
        <v>0</v>
      </c>
    </row>
    <row r="173" spans="1:11">
      <c r="A173" s="48" t="s">
        <v>184</v>
      </c>
      <c r="B173" s="49">
        <f>SUM(B172,B169,B165)</f>
        <v>75998884.21</v>
      </c>
      <c r="C173" s="49">
        <f>SUM(C172,C169,C165)</f>
        <v>71566788.83</v>
      </c>
      <c r="D173" s="50">
        <f t="shared" si="12"/>
        <v>0.941682099335127</v>
      </c>
      <c r="E173" s="49">
        <f>SUM(E172,E169,E165)</f>
        <v>70288499.53</v>
      </c>
      <c r="F173" s="50">
        <f t="shared" si="13"/>
        <v>0.98213851255732</v>
      </c>
      <c r="G173" s="49">
        <f>SUM(G172,G169,G165)</f>
        <v>976228567.27</v>
      </c>
      <c r="H173" s="49">
        <f>SUM(H172,H169,H165)</f>
        <v>14071999.66</v>
      </c>
      <c r="I173" s="50">
        <f t="shared" si="10"/>
        <v>0.0144146567021205</v>
      </c>
      <c r="J173" s="49">
        <f>SUM(J172,J169,J165)</f>
        <v>18623285.33</v>
      </c>
      <c r="K173" s="50">
        <f t="shared" si="11"/>
        <v>0.0190767674235139</v>
      </c>
    </row>
    <row r="174" spans="1:11">
      <c r="A174" s="40" t="s">
        <v>185</v>
      </c>
      <c r="B174" s="43">
        <f>VLOOKUP(A174,[2]ticket_pivot!$A$6:$V$127,2,FALSE)</f>
        <v>7000345.2</v>
      </c>
      <c r="C174" s="43">
        <f>VLOOKUP(A174,[2]ticket_pivot!$A$6:$V$127,3,FALSE)</f>
        <v>6944800.72</v>
      </c>
      <c r="D174" s="44">
        <f t="shared" si="12"/>
        <v>0.992065465571612</v>
      </c>
      <c r="E174" s="43">
        <f>VLOOKUP(A174,[2]ticket_pivot!$A$6:$V$127,4,FALSE)</f>
        <v>6836127.81</v>
      </c>
      <c r="F174" s="44">
        <f t="shared" si="13"/>
        <v>0.984351903764922</v>
      </c>
      <c r="G174" s="43">
        <f>VLOOKUP(A174,[2]Sheet12!$A$5:$G$125,2,FALSE)</f>
        <v>91292925.4</v>
      </c>
      <c r="H174" s="43"/>
      <c r="I174" s="44">
        <f t="shared" si="10"/>
        <v>0</v>
      </c>
      <c r="J174" s="43">
        <f>VLOOKUP(A174,[2]PAR!$A$5:$H$120,2,FALSE)</f>
        <v>487136.82</v>
      </c>
      <c r="K174" s="44">
        <f t="shared" si="11"/>
        <v>0.00533597557385318</v>
      </c>
    </row>
    <row r="175" spans="1:11">
      <c r="A175" s="40" t="s">
        <v>186</v>
      </c>
      <c r="B175" s="43">
        <f>VLOOKUP(A175,[2]ticket_pivot!$A$6:$V$127,2,FALSE)</f>
        <v>3716501.27</v>
      </c>
      <c r="C175" s="43">
        <f>VLOOKUP(A175,[2]ticket_pivot!$A$6:$V$127,3,FALSE)</f>
        <v>3703673.76</v>
      </c>
      <c r="D175" s="44">
        <f t="shared" si="12"/>
        <v>0.996548498421474</v>
      </c>
      <c r="E175" s="43">
        <f>VLOOKUP(A175,[2]ticket_pivot!$A$6:$V$127,4,FALSE)</f>
        <v>3699303.45</v>
      </c>
      <c r="F175" s="44">
        <f t="shared" si="13"/>
        <v>0.998820006759991</v>
      </c>
      <c r="G175" s="43">
        <f>VLOOKUP(A175,[2]Sheet12!$A$5:$G$125,2,FALSE)</f>
        <v>46898419.38</v>
      </c>
      <c r="H175" s="43"/>
      <c r="I175" s="44">
        <f t="shared" si="10"/>
        <v>0</v>
      </c>
      <c r="J175" s="43"/>
      <c r="K175" s="44">
        <f t="shared" si="11"/>
        <v>0</v>
      </c>
    </row>
    <row r="176" spans="1:11">
      <c r="A176" s="40" t="s">
        <v>187</v>
      </c>
      <c r="B176" s="41">
        <f>VLOOKUP(A176,[2]ticket_pivot!$A$6:$V$127,2,FALSE)</f>
        <v>7761886.86</v>
      </c>
      <c r="C176" s="41">
        <f>VLOOKUP(A176,[2]ticket_pivot!$A$6:$V$127,3,FALSE)</f>
        <v>7695017.76</v>
      </c>
      <c r="D176" s="42">
        <f t="shared" si="12"/>
        <v>0.991384942707089</v>
      </c>
      <c r="E176" s="41">
        <f>VLOOKUP(A176,[2]ticket_pivot!$A$6:$V$127,4,FALSE)</f>
        <v>7687465.09</v>
      </c>
      <c r="F176" s="42">
        <f t="shared" si="13"/>
        <v>0.999018498691548</v>
      </c>
      <c r="G176" s="41">
        <f>VLOOKUP(A176,[2]Sheet12!$A$5:$G$125,2,FALSE)</f>
        <v>89829083.32</v>
      </c>
      <c r="H176" s="41"/>
      <c r="I176" s="42">
        <f t="shared" si="10"/>
        <v>0</v>
      </c>
      <c r="J176" s="41"/>
      <c r="K176" s="42">
        <f t="shared" si="11"/>
        <v>0</v>
      </c>
    </row>
    <row r="177" spans="1:11">
      <c r="A177" s="45" t="s">
        <v>188</v>
      </c>
      <c r="B177" s="46">
        <f>SUM(B174:B176)</f>
        <v>18478733.33</v>
      </c>
      <c r="C177" s="46">
        <f>SUM(C174:C176)</f>
        <v>18343492.24</v>
      </c>
      <c r="D177" s="47">
        <f t="shared" si="12"/>
        <v>0.992681257552408</v>
      </c>
      <c r="E177" s="46">
        <f>SUM(E174:E176)</f>
        <v>18222896.35</v>
      </c>
      <c r="F177" s="47">
        <f t="shared" si="13"/>
        <v>0.993425685337221</v>
      </c>
      <c r="G177" s="46">
        <f>SUM(G174:G176)</f>
        <v>228020428.1</v>
      </c>
      <c r="H177" s="46">
        <f>SUM(H174:H176)</f>
        <v>0</v>
      </c>
      <c r="I177" s="47">
        <f t="shared" si="10"/>
        <v>0</v>
      </c>
      <c r="J177" s="46">
        <f>SUM(J174:J176)</f>
        <v>487136.82</v>
      </c>
      <c r="K177" s="47">
        <f t="shared" si="11"/>
        <v>0.0021363735874856</v>
      </c>
    </row>
    <row r="178" spans="1:11">
      <c r="A178" s="40" t="s">
        <v>189</v>
      </c>
      <c r="B178" s="43">
        <f>VLOOKUP(A178,[2]ticket_pivot!$A$6:$V$127,2,FALSE)</f>
        <v>9377233.99</v>
      </c>
      <c r="C178" s="43">
        <f>VLOOKUP(A178,[2]ticket_pivot!$A$6:$V$127,3,FALSE)</f>
        <v>9603079.88</v>
      </c>
      <c r="D178" s="44">
        <f t="shared" si="12"/>
        <v>1.02408448911916</v>
      </c>
      <c r="E178" s="43">
        <f>VLOOKUP(A178,[2]ticket_pivot!$A$6:$V$127,4,FALSE)</f>
        <v>9333107.64</v>
      </c>
      <c r="F178" s="44">
        <f t="shared" si="13"/>
        <v>0.971886910931329</v>
      </c>
      <c r="G178" s="43">
        <f>VLOOKUP(A178,[2]Sheet12!$A$5:$G$125,2,FALSE)</f>
        <v>123830509.21</v>
      </c>
      <c r="H178" s="43"/>
      <c r="I178" s="44">
        <f t="shared" si="10"/>
        <v>0</v>
      </c>
      <c r="J178" s="43"/>
      <c r="K178" s="44">
        <f t="shared" si="11"/>
        <v>0</v>
      </c>
    </row>
    <row r="179" spans="1:11">
      <c r="A179" s="40" t="s">
        <v>190</v>
      </c>
      <c r="B179" s="41">
        <f>VLOOKUP(A179,[2]ticket_pivot!$A$6:$V$127,2,FALSE)</f>
        <v>11995969.17</v>
      </c>
      <c r="C179" s="41">
        <f>VLOOKUP(A179,[2]ticket_pivot!$A$6:$V$127,3,FALSE)</f>
        <v>11546109.64</v>
      </c>
      <c r="D179" s="42">
        <f t="shared" si="12"/>
        <v>0.962499109190359</v>
      </c>
      <c r="E179" s="41">
        <f>VLOOKUP(A179,[2]ticket_pivot!$A$6:$V$127,4,FALSE)</f>
        <v>11465087.33</v>
      </c>
      <c r="F179" s="42">
        <f t="shared" si="13"/>
        <v>0.992982717770208</v>
      </c>
      <c r="G179" s="41">
        <f>VLOOKUP(A179,[2]Sheet12!$A$5:$G$125,2,FALSE)</f>
        <v>121166933.1</v>
      </c>
      <c r="H179" s="41"/>
      <c r="I179" s="42">
        <f t="shared" si="10"/>
        <v>0</v>
      </c>
      <c r="J179" s="41">
        <f>VLOOKUP(A179,[2]PAR!$A$5:$H$120,2,FALSE)</f>
        <v>2085063.73</v>
      </c>
      <c r="K179" s="42">
        <f t="shared" si="11"/>
        <v>0.0172081910192377</v>
      </c>
    </row>
    <row r="180" spans="1:11">
      <c r="A180" s="45" t="s">
        <v>191</v>
      </c>
      <c r="B180" s="46">
        <f>SUM(B178:B179)</f>
        <v>21373203.16</v>
      </c>
      <c r="C180" s="46">
        <f>SUM(C178:C179)</f>
        <v>21149189.52</v>
      </c>
      <c r="D180" s="47">
        <f t="shared" si="12"/>
        <v>0.989518948642231</v>
      </c>
      <c r="E180" s="46">
        <f>SUM(E178:E179)</f>
        <v>20798194.97</v>
      </c>
      <c r="F180" s="47">
        <f t="shared" si="13"/>
        <v>0.983403877029515</v>
      </c>
      <c r="G180" s="46">
        <f>SUM(G178:G179)</f>
        <v>244997442.31</v>
      </c>
      <c r="H180" s="46">
        <f>SUM(H178:H179)</f>
        <v>0</v>
      </c>
      <c r="I180" s="47">
        <f t="shared" si="10"/>
        <v>0</v>
      </c>
      <c r="J180" s="46">
        <f>SUM(J178:J179)</f>
        <v>2085063.73</v>
      </c>
      <c r="K180" s="47">
        <f t="shared" si="11"/>
        <v>0.00851055305043441</v>
      </c>
    </row>
    <row r="181" spans="1:11">
      <c r="A181" s="40" t="s">
        <v>192</v>
      </c>
      <c r="B181" s="43">
        <f>VLOOKUP(A181,[2]ticket_pivot!$A$6:$V$127,2,FALSE)</f>
        <v>5969231.45</v>
      </c>
      <c r="C181" s="43">
        <f>VLOOKUP(A181,[2]ticket_pivot!$A$6:$V$127,3,FALSE)</f>
        <v>5858945.21</v>
      </c>
      <c r="D181" s="44">
        <f t="shared" si="12"/>
        <v>0.981524214478231</v>
      </c>
      <c r="E181" s="43">
        <f>VLOOKUP(A181,[2]ticket_pivot!$A$6:$V$127,4,FALSE)</f>
        <v>5838480.71</v>
      </c>
      <c r="F181" s="44">
        <f t="shared" si="13"/>
        <v>0.996507135795523</v>
      </c>
      <c r="G181" s="43">
        <f>VLOOKUP(A181,[2]Sheet12!$A$5:$G$125,2,FALSE)</f>
        <v>69785223.54</v>
      </c>
      <c r="H181" s="43"/>
      <c r="I181" s="44">
        <f t="shared" si="10"/>
        <v>0</v>
      </c>
      <c r="J181" s="43"/>
      <c r="K181" s="44">
        <f t="shared" si="11"/>
        <v>0</v>
      </c>
    </row>
    <row r="182" spans="1:11">
      <c r="A182" s="40" t="s">
        <v>193</v>
      </c>
      <c r="B182" s="41">
        <f>VLOOKUP(A182,[2]ticket_pivot!$A$6:$V$127,2,FALSE)</f>
        <v>7811575.16</v>
      </c>
      <c r="C182" s="41">
        <f>VLOOKUP(A182,[2]ticket_pivot!$A$6:$V$127,3,FALSE)</f>
        <v>7187264.33</v>
      </c>
      <c r="D182" s="42">
        <f t="shared" si="12"/>
        <v>0.920078752721109</v>
      </c>
      <c r="E182" s="41">
        <f>VLOOKUP(A182,[2]ticket_pivot!$A$6:$V$127,4,FALSE)</f>
        <v>7156068.74</v>
      </c>
      <c r="F182" s="42">
        <f t="shared" si="13"/>
        <v>0.995659601683246</v>
      </c>
      <c r="G182" s="41">
        <f>VLOOKUP(A182,[2]Sheet12!$A$5:$G$125,2,FALSE)</f>
        <v>80116810.43</v>
      </c>
      <c r="H182" s="41"/>
      <c r="I182" s="42">
        <f t="shared" si="10"/>
        <v>0</v>
      </c>
      <c r="J182" s="41">
        <f>VLOOKUP(A182,[2]PAR!$A$5:$H$120,2,FALSE)</f>
        <v>1661412.78</v>
      </c>
      <c r="K182" s="42">
        <f t="shared" si="11"/>
        <v>0.0207373804708765</v>
      </c>
    </row>
    <row r="183" spans="1:11">
      <c r="A183" s="45" t="s">
        <v>194</v>
      </c>
      <c r="B183" s="46">
        <f>SUM(B181:B182)</f>
        <v>13780806.61</v>
      </c>
      <c r="C183" s="46">
        <f>SUM(C181:C182)</f>
        <v>13046209.54</v>
      </c>
      <c r="D183" s="47">
        <f t="shared" si="12"/>
        <v>0.946694189187232</v>
      </c>
      <c r="E183" s="46">
        <f>SUM(E181:E182)</f>
        <v>12994549.45</v>
      </c>
      <c r="F183" s="47">
        <f t="shared" si="13"/>
        <v>0.996040222269801</v>
      </c>
      <c r="G183" s="46">
        <f>SUM(G181:G182)</f>
        <v>149902033.97</v>
      </c>
      <c r="H183" s="46">
        <f>SUM(H181:H182)</f>
        <v>0</v>
      </c>
      <c r="I183" s="47">
        <f t="shared" si="10"/>
        <v>0</v>
      </c>
      <c r="J183" s="46">
        <f>SUM(J181:J182)</f>
        <v>1661412.78</v>
      </c>
      <c r="K183" s="47">
        <f t="shared" si="11"/>
        <v>0.0110833237948759</v>
      </c>
    </row>
    <row r="184" spans="1:11">
      <c r="A184" s="48" t="s">
        <v>195</v>
      </c>
      <c r="B184" s="49">
        <f>SUM(B183,B180,B177)</f>
        <v>53632743.1</v>
      </c>
      <c r="C184" s="49">
        <f>SUM(C183,C180,C177)</f>
        <v>52538891.3</v>
      </c>
      <c r="D184" s="50">
        <f t="shared" si="12"/>
        <v>0.979604776172636</v>
      </c>
      <c r="E184" s="49">
        <f>SUM(E183,E180,E177)</f>
        <v>52015640.77</v>
      </c>
      <c r="F184" s="50">
        <f t="shared" si="13"/>
        <v>0.990040700954038</v>
      </c>
      <c r="G184" s="49">
        <f>SUM(G183,G180,G177)</f>
        <v>622919904.38</v>
      </c>
      <c r="H184" s="49">
        <f>SUM(H183,H180,H177)</f>
        <v>0</v>
      </c>
      <c r="I184" s="50">
        <f t="shared" si="10"/>
        <v>0</v>
      </c>
      <c r="J184" s="49">
        <f>SUM(J183,J180,J177)</f>
        <v>4233613.33</v>
      </c>
      <c r="K184" s="50">
        <f t="shared" si="11"/>
        <v>0.00679640078962281</v>
      </c>
    </row>
    <row r="185" spans="1:11">
      <c r="A185" s="51" t="s">
        <v>196</v>
      </c>
      <c r="B185" s="52">
        <f>SUM(B184,B173)</f>
        <v>129631627.31</v>
      </c>
      <c r="C185" s="52">
        <f>SUM(C184,C173)</f>
        <v>124105680.13</v>
      </c>
      <c r="D185" s="53">
        <f t="shared" si="12"/>
        <v>0.957371921538983</v>
      </c>
      <c r="E185" s="52">
        <f>SUM(E184,E173)</f>
        <v>122304140.3</v>
      </c>
      <c r="F185" s="53">
        <f t="shared" si="13"/>
        <v>0.985483824526703</v>
      </c>
      <c r="G185" s="52">
        <f>SUM(G184,G173)</f>
        <v>1599148471.65</v>
      </c>
      <c r="H185" s="52">
        <f>SUM(H184,H173)</f>
        <v>14071999.66</v>
      </c>
      <c r="I185" s="53">
        <f t="shared" si="10"/>
        <v>0.00879968302472911</v>
      </c>
      <c r="J185" s="52">
        <f>SUM(J184,J173)</f>
        <v>22856898.66</v>
      </c>
      <c r="K185" s="53">
        <f t="shared" si="11"/>
        <v>0.0142931685614008</v>
      </c>
    </row>
    <row r="186" spans="1:11">
      <c r="A186" s="54" t="s">
        <v>197</v>
      </c>
      <c r="B186" s="55">
        <f>SUM(B185,B162,B114,B77,B50)</f>
        <v>1209548469.96</v>
      </c>
      <c r="C186" s="55">
        <f>SUM(C185,C162,C114,C77,C50)</f>
        <v>1071852695.73</v>
      </c>
      <c r="D186" s="56">
        <f t="shared" si="12"/>
        <v>0.886159358099512</v>
      </c>
      <c r="E186" s="55">
        <f>SUM(E185,E162,E114,E77,E50)</f>
        <v>1054327285.72</v>
      </c>
      <c r="F186" s="56">
        <f t="shared" si="13"/>
        <v>0.983649423022569</v>
      </c>
      <c r="G186" s="55">
        <f>SUM(G185,G162,G114,G77,G50)</f>
        <v>15174234470.02</v>
      </c>
      <c r="H186" s="55">
        <f>SUM(H185,H162,H114,H77,H50)</f>
        <v>34308425.98</v>
      </c>
      <c r="I186" s="57">
        <f t="shared" si="10"/>
        <v>0.00226096585285958</v>
      </c>
      <c r="J186" s="55">
        <f>SUM(J185,J162,J114,J77,J50)</f>
        <v>176028008.82</v>
      </c>
      <c r="K186" s="56">
        <f t="shared" si="11"/>
        <v>0.0116004539911243</v>
      </c>
    </row>
  </sheetData>
  <mergeCells count="1">
    <mergeCell ref="B1:K1"/>
  </mergeCells>
  <conditionalFormatting sqref="D3:D185">
    <cfRule type="cellIs" dxfId="0" priority="4" operator="lessThan">
      <formula>0.886</formula>
    </cfRule>
  </conditionalFormatting>
  <conditionalFormatting sqref="F3:F185">
    <cfRule type="cellIs" dxfId="0" priority="3" operator="lessThan">
      <formula>0.984</formula>
    </cfRule>
  </conditionalFormatting>
  <conditionalFormatting sqref="I3:I185">
    <cfRule type="cellIs" dxfId="0" priority="2" operator="greaterThan">
      <formula>0.0023</formula>
    </cfRule>
  </conditionalFormatting>
  <conditionalFormatting sqref="K3:K185">
    <cfRule type="cellIs" dxfId="0" priority="1" operator="greaterThan">
      <formula>0.012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6"/>
  <sheetViews>
    <sheetView tabSelected="1" zoomScale="90" zoomScaleNormal="90" workbookViewId="0">
      <pane xSplit="8" ySplit="14" topLeftCell="I15" activePane="bottomRight" state="frozen"/>
      <selection/>
      <selection pane="topRight"/>
      <selection pane="bottomLeft"/>
      <selection pane="bottomRight" activeCell="L3" sqref="L3:L185"/>
    </sheetView>
  </sheetViews>
  <sheetFormatPr defaultColWidth="9" defaultRowHeight="14.4"/>
  <cols>
    <col min="1" max="1" width="22.2222222222222" style="1" customWidth="1"/>
    <col min="2" max="2" width="15.2685185185185" style="2" customWidth="1"/>
    <col min="3" max="3" width="20.5555555555556" style="2" customWidth="1"/>
    <col min="4" max="5" width="14.4537037037037" style="2" customWidth="1"/>
    <col min="6" max="6" width="9.66666666666667" style="3" customWidth="1"/>
    <col min="7" max="7" width="13.1111111111111" style="3" customWidth="1"/>
    <col min="8" max="8" width="21.7777777777778" style="3" customWidth="1"/>
    <col min="9" max="9" width="14.4537037037037" style="2" customWidth="1"/>
    <col min="10" max="10" width="9.72222222222222" style="3" customWidth="1"/>
    <col min="11" max="11" width="14.4537037037037" style="2" customWidth="1"/>
    <col min="12" max="12" width="10.6666666666667" style="3" customWidth="1"/>
    <col min="13" max="13" width="8.72222222222222" style="3"/>
    <col min="14" max="16383" width="9" style="1"/>
  </cols>
  <sheetData>
    <row r="1" ht="23" customHeight="1" spans="1:13">
      <c r="A1" s="4" t="s">
        <v>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="1" customFormat="1" spans="1:13">
      <c r="A2" s="5" t="s">
        <v>199</v>
      </c>
      <c r="B2" s="6" t="s">
        <v>200</v>
      </c>
      <c r="C2" s="6" t="s">
        <v>201</v>
      </c>
      <c r="D2" s="6" t="s">
        <v>3</v>
      </c>
      <c r="E2" s="6" t="s">
        <v>4</v>
      </c>
      <c r="F2" s="7" t="s">
        <v>202</v>
      </c>
      <c r="G2" s="7" t="s">
        <v>203</v>
      </c>
      <c r="H2" s="7" t="s">
        <v>204</v>
      </c>
      <c r="I2" s="8" t="s">
        <v>205</v>
      </c>
      <c r="J2" s="9" t="s">
        <v>12</v>
      </c>
      <c r="K2" s="8" t="s">
        <v>206</v>
      </c>
      <c r="L2" s="9" t="s">
        <v>10</v>
      </c>
      <c r="M2" s="3"/>
    </row>
    <row r="3" s="1" customFormat="1" spans="1:13">
      <c r="A3" s="10" t="s">
        <v>14</v>
      </c>
      <c r="B3" s="11">
        <v>8665858511.88</v>
      </c>
      <c r="C3" s="11">
        <v>731832459.330002</v>
      </c>
      <c r="D3" s="11">
        <v>773070330.18</v>
      </c>
      <c r="E3" s="11">
        <v>499175399.430001</v>
      </c>
      <c r="F3" s="12">
        <v>0.682089722949703</v>
      </c>
      <c r="G3" s="12">
        <v>0.645705028304183</v>
      </c>
      <c r="H3" s="12">
        <v>0.057602532829919</v>
      </c>
      <c r="I3" s="13">
        <v>44742052.58</v>
      </c>
      <c r="J3" s="14">
        <v>0.0613490734240723</v>
      </c>
      <c r="K3" s="13">
        <v>19472048.27</v>
      </c>
      <c r="L3" s="14">
        <v>0.0307811354508453</v>
      </c>
      <c r="M3" s="3"/>
    </row>
    <row r="4" s="1" customFormat="1" spans="1:13">
      <c r="A4" s="10" t="s">
        <v>15</v>
      </c>
      <c r="B4" s="11">
        <v>6430742822.7</v>
      </c>
      <c r="C4" s="11">
        <v>702933180.090001</v>
      </c>
      <c r="D4" s="11">
        <v>489280185.780001</v>
      </c>
      <c r="E4" s="11">
        <v>415812577.990001</v>
      </c>
      <c r="F4" s="12">
        <v>0.591539266842919</v>
      </c>
      <c r="G4" s="12">
        <v>0.849845528338984</v>
      </c>
      <c r="H4" s="12">
        <v>0.0646601161723053</v>
      </c>
      <c r="I4" s="13">
        <v>30207953.87</v>
      </c>
      <c r="J4" s="14">
        <v>0.00567530943269873</v>
      </c>
      <c r="K4" s="13">
        <v>1839682.24</v>
      </c>
      <c r="L4" s="14">
        <v>0.00305770177363498</v>
      </c>
      <c r="M4" s="3"/>
    </row>
    <row r="5" s="1" customFormat="1" spans="1:13">
      <c r="A5" s="15" t="s">
        <v>16</v>
      </c>
      <c r="B5" s="16">
        <v>15096601334.58</v>
      </c>
      <c r="C5" s="16">
        <v>1434765639.42</v>
      </c>
      <c r="D5" s="16">
        <v>1262350515.96</v>
      </c>
      <c r="E5" s="16">
        <v>914987977.420002</v>
      </c>
      <c r="F5" s="17">
        <v>0.63772643578911</v>
      </c>
      <c r="G5" s="17">
        <v>0.72482877445823</v>
      </c>
      <c r="H5" s="17">
        <v>0.0606088719667086</v>
      </c>
      <c r="I5" s="18">
        <v>74950006.45</v>
      </c>
      <c r="J5" s="19">
        <v>0.0340713922247169</v>
      </c>
      <c r="K5" s="18">
        <v>21311730.51</v>
      </c>
      <c r="L5" s="19">
        <v>0.0171978795079636</v>
      </c>
    </row>
    <row r="6" s="1" customFormat="1" spans="1:13">
      <c r="A6" s="10" t="s">
        <v>17</v>
      </c>
      <c r="B6" s="11">
        <v>7640375929.91999</v>
      </c>
      <c r="C6" s="11">
        <v>476969504.38</v>
      </c>
      <c r="D6" s="11">
        <v>566224774.590001</v>
      </c>
      <c r="E6" s="11">
        <v>432374696.34</v>
      </c>
      <c r="F6" s="12">
        <v>0.906503858987866</v>
      </c>
      <c r="G6" s="12">
        <v>0.763609640099338</v>
      </c>
      <c r="H6" s="12">
        <v>0.0565907620653592</v>
      </c>
      <c r="I6" s="13">
        <v>47489653.22</v>
      </c>
      <c r="J6" s="14">
        <v>0.041784870580113</v>
      </c>
      <c r="K6" s="13">
        <v>17398719.27</v>
      </c>
      <c r="L6" s="14">
        <v>0.0294048585040144</v>
      </c>
      <c r="M6" s="3"/>
    </row>
    <row r="7" s="1" customFormat="1" spans="1:13">
      <c r="A7" s="10" t="s">
        <v>18</v>
      </c>
      <c r="B7" s="11">
        <v>7151239351.61999</v>
      </c>
      <c r="C7" s="11">
        <v>490553946.36</v>
      </c>
      <c r="D7" s="11">
        <v>640012324.31</v>
      </c>
      <c r="E7" s="11">
        <v>443620038.27</v>
      </c>
      <c r="F7" s="12">
        <v>0.904324675322138</v>
      </c>
      <c r="G7" s="12">
        <v>0.693142962126969</v>
      </c>
      <c r="H7" s="12">
        <v>0.0620340078771808</v>
      </c>
      <c r="I7" s="13">
        <v>33450619.26</v>
      </c>
      <c r="J7" s="14">
        <v>0.0485642766383592</v>
      </c>
      <c r="K7" s="13">
        <v>12221757.82</v>
      </c>
      <c r="L7" s="14">
        <v>0.0229707345613928</v>
      </c>
      <c r="M7" s="3"/>
    </row>
    <row r="8" s="1" customFormat="1" spans="1:13">
      <c r="A8" s="15" t="s">
        <v>19</v>
      </c>
      <c r="B8" s="16">
        <v>14791615281.54</v>
      </c>
      <c r="C8" s="16">
        <v>967523450.74</v>
      </c>
      <c r="D8" s="16">
        <v>1206237098.9</v>
      </c>
      <c r="E8" s="16">
        <v>875994734.61</v>
      </c>
      <c r="F8" s="17">
        <v>0.905398968820864</v>
      </c>
      <c r="G8" s="17">
        <v>0.726221018578223</v>
      </c>
      <c r="H8" s="17">
        <v>0.0592223849753073</v>
      </c>
      <c r="I8" s="18">
        <v>80940272.48</v>
      </c>
      <c r="J8" s="19">
        <v>0.0450175309960258</v>
      </c>
      <c r="K8" s="18">
        <v>29620477.09</v>
      </c>
      <c r="L8" s="19">
        <v>0.0263368408042794</v>
      </c>
    </row>
    <row r="9" s="1" customFormat="1" spans="1:13">
      <c r="A9" s="10" t="s">
        <v>20</v>
      </c>
      <c r="B9" s="11">
        <v>3487200920.61</v>
      </c>
      <c r="C9" s="11">
        <v>260136965.51</v>
      </c>
      <c r="D9" s="11">
        <v>302628805.010001</v>
      </c>
      <c r="E9" s="11">
        <v>226563210.44</v>
      </c>
      <c r="F9" s="12">
        <v>0.87093816134828</v>
      </c>
      <c r="G9" s="12">
        <v>0.748650514059669</v>
      </c>
      <c r="H9" s="12">
        <v>0.0649699330775493</v>
      </c>
      <c r="I9" s="13">
        <v>25628156.17</v>
      </c>
      <c r="J9" s="14">
        <v>0.019624039966458</v>
      </c>
      <c r="K9" s="13">
        <v>1123672.59</v>
      </c>
      <c r="L9" s="14">
        <v>0.00409051671149703</v>
      </c>
      <c r="M9" s="3"/>
    </row>
    <row r="10" s="1" customFormat="1" spans="1:13">
      <c r="A10" s="10" t="s">
        <v>21</v>
      </c>
      <c r="B10" s="11">
        <v>9956232117.88002</v>
      </c>
      <c r="C10" s="11">
        <v>746605634.800006</v>
      </c>
      <c r="D10" s="11">
        <v>792833117.790004</v>
      </c>
      <c r="E10" s="11">
        <v>588170661.370006</v>
      </c>
      <c r="F10" s="12">
        <v>0.787792957827809</v>
      </c>
      <c r="G10" s="12">
        <v>0.741859349934211</v>
      </c>
      <c r="H10" s="12">
        <v>0.0590756276477054</v>
      </c>
      <c r="I10" s="13">
        <v>24946590.1</v>
      </c>
      <c r="J10" s="14">
        <v>0.018285319832887</v>
      </c>
      <c r="K10" s="13">
        <v>5708257.85</v>
      </c>
      <c r="L10" s="14">
        <v>0.0106938631453552</v>
      </c>
      <c r="M10" s="3"/>
    </row>
    <row r="11" s="1" customFormat="1" spans="1:13">
      <c r="A11" s="10" t="s">
        <v>22</v>
      </c>
      <c r="B11" s="11">
        <v>5139640027.16001</v>
      </c>
      <c r="C11" s="11">
        <v>318986540.570001</v>
      </c>
      <c r="D11" s="11">
        <v>343677240.190002</v>
      </c>
      <c r="E11" s="11">
        <v>292826474.23</v>
      </c>
      <c r="F11" s="12">
        <v>0.917990062235055</v>
      </c>
      <c r="G11" s="12">
        <v>0.852039180913206</v>
      </c>
      <c r="H11" s="12">
        <v>0.0569741212774791</v>
      </c>
      <c r="I11" s="13">
        <v>9709918.41</v>
      </c>
      <c r="J11" s="14">
        <v>0.005215210592232</v>
      </c>
      <c r="K11" s="13">
        <v>946343.28</v>
      </c>
      <c r="L11" s="14">
        <v>0.00200899749909977</v>
      </c>
      <c r="M11" s="3"/>
    </row>
    <row r="12" s="1" customFormat="1" spans="1:13">
      <c r="A12" s="15" t="s">
        <v>23</v>
      </c>
      <c r="B12" s="16">
        <v>18583073065.65</v>
      </c>
      <c r="C12" s="16">
        <v>1325729140.88001</v>
      </c>
      <c r="D12" s="16">
        <v>1439139162.99001</v>
      </c>
      <c r="E12" s="16">
        <v>1107560346.04001</v>
      </c>
      <c r="F12" s="17">
        <v>0.835434865152634</v>
      </c>
      <c r="G12" s="17">
        <v>0.769599198272737</v>
      </c>
      <c r="H12" s="17">
        <v>0.0596004946074975</v>
      </c>
      <c r="I12" s="18">
        <v>60284664.68</v>
      </c>
      <c r="J12" s="19">
        <v>0.0137970078706883</v>
      </c>
      <c r="K12" s="18">
        <v>7778273.72</v>
      </c>
      <c r="L12" s="19">
        <v>0.00612302141882821</v>
      </c>
    </row>
    <row r="13" s="1" customFormat="1" spans="1:13">
      <c r="A13" s="20" t="s">
        <v>24</v>
      </c>
      <c r="B13" s="21">
        <v>48471289681.77</v>
      </c>
      <c r="C13" s="21">
        <v>3728018231.04001</v>
      </c>
      <c r="D13" s="21">
        <v>3907726777.85001</v>
      </c>
      <c r="E13" s="21">
        <v>2898543058.07001</v>
      </c>
      <c r="F13" s="22">
        <v>0.777502382884377</v>
      </c>
      <c r="G13" s="22">
        <v>0.741746601758262</v>
      </c>
      <c r="H13" s="22">
        <v>0.0597991734302903</v>
      </c>
      <c r="I13" s="23">
        <v>216174943.61</v>
      </c>
      <c r="J13" s="24">
        <v>0.0303183557269069</v>
      </c>
      <c r="K13" s="23">
        <v>58710481.32</v>
      </c>
      <c r="L13" s="24">
        <v>0.0161191067406777</v>
      </c>
    </row>
    <row r="14" s="1" customFormat="1" spans="1:13">
      <c r="A14" s="10" t="s">
        <v>25</v>
      </c>
      <c r="B14" s="11">
        <v>5058261232.44</v>
      </c>
      <c r="C14" s="11">
        <v>366865221.869999</v>
      </c>
      <c r="D14" s="11">
        <v>589744384.609999</v>
      </c>
      <c r="E14" s="11">
        <v>313768780.769999</v>
      </c>
      <c r="F14" s="12">
        <v>0.855269897676987</v>
      </c>
      <c r="G14" s="12">
        <v>0.532041998123468</v>
      </c>
      <c r="H14" s="12">
        <v>0.0620309561629033</v>
      </c>
      <c r="I14" s="13">
        <v>29405666.37</v>
      </c>
      <c r="J14" s="14">
        <v>0.058539796347013</v>
      </c>
      <c r="K14" s="13">
        <v>11525771.67</v>
      </c>
      <c r="L14" s="14">
        <v>0.03215484702061</v>
      </c>
      <c r="M14" s="3"/>
    </row>
    <row r="15" s="1" customFormat="1" spans="1:13">
      <c r="A15" s="10" t="s">
        <v>26</v>
      </c>
      <c r="B15" s="11">
        <v>5560652237.01999</v>
      </c>
      <c r="C15" s="11">
        <v>521007240.87</v>
      </c>
      <c r="D15" s="11">
        <v>423053829.88</v>
      </c>
      <c r="E15" s="11">
        <v>331298157.700001</v>
      </c>
      <c r="F15" s="12">
        <v>0.635880140834099</v>
      </c>
      <c r="G15" s="12">
        <v>0.783111118020073</v>
      </c>
      <c r="H15" s="12">
        <v>0.0595790104431251</v>
      </c>
      <c r="I15" s="13">
        <v>14053842.65</v>
      </c>
      <c r="J15" s="14">
        <v>0.0195806815574525</v>
      </c>
      <c r="K15" s="13">
        <v>3667969.79</v>
      </c>
      <c r="L15" s="14">
        <v>0.00803831608558714</v>
      </c>
      <c r="M15" s="3"/>
    </row>
    <row r="16" s="1" customFormat="1" spans="1:13">
      <c r="A16" s="10" t="s">
        <v>27</v>
      </c>
      <c r="B16" s="11">
        <v>6211703294.81</v>
      </c>
      <c r="C16" s="11">
        <v>1271897102.38</v>
      </c>
      <c r="D16" s="11">
        <v>461696346.879999</v>
      </c>
      <c r="E16" s="11">
        <v>358685887.18</v>
      </c>
      <c r="F16" s="12">
        <v>0.282008573263372</v>
      </c>
      <c r="G16" s="12">
        <v>0.776886994241751</v>
      </c>
      <c r="H16" s="12">
        <v>0.0577435640687618</v>
      </c>
      <c r="I16" s="13">
        <v>24310588.18</v>
      </c>
      <c r="J16" s="14">
        <v>0.0312174558204673</v>
      </c>
      <c r="K16" s="13">
        <v>6578248.19</v>
      </c>
      <c r="L16" s="14">
        <v>0.0143803113982958</v>
      </c>
      <c r="M16" s="3"/>
    </row>
    <row r="17" s="1" customFormat="1" spans="1:13">
      <c r="A17" s="10" t="s">
        <v>28</v>
      </c>
      <c r="B17" s="11">
        <v>5253139672.59</v>
      </c>
      <c r="C17" s="11">
        <v>1037839069.63</v>
      </c>
      <c r="D17" s="11">
        <v>487211693.879998</v>
      </c>
      <c r="E17" s="11">
        <v>321605436.190001</v>
      </c>
      <c r="F17" s="12">
        <v>0.309879870204402</v>
      </c>
      <c r="G17" s="12">
        <v>0.660093836477605</v>
      </c>
      <c r="H17" s="12">
        <v>0.0612215658129335</v>
      </c>
      <c r="I17" s="13">
        <v>21742063.43</v>
      </c>
      <c r="J17" s="14">
        <v>0.0388985725881091</v>
      </c>
      <c r="K17" s="13">
        <v>6436910.2</v>
      </c>
      <c r="L17" s="14">
        <v>0.0183634430530775</v>
      </c>
      <c r="M17" s="3"/>
    </row>
    <row r="18" s="1" customFormat="1" spans="1:13">
      <c r="A18" s="15" t="s">
        <v>29</v>
      </c>
      <c r="B18" s="16">
        <v>22083756436.86</v>
      </c>
      <c r="C18" s="16">
        <v>3197608634.75</v>
      </c>
      <c r="D18" s="16">
        <v>1961706255.25</v>
      </c>
      <c r="E18" s="16">
        <v>1325358261.84</v>
      </c>
      <c r="F18" s="17">
        <v>0.414484201548831</v>
      </c>
      <c r="G18" s="17">
        <v>0.67561504598001</v>
      </c>
      <c r="H18" s="17">
        <v>0.0600150733245656</v>
      </c>
      <c r="I18" s="18">
        <v>89512160.63</v>
      </c>
      <c r="J18" s="19">
        <v>0.0356116317075642</v>
      </c>
      <c r="K18" s="18">
        <v>28208899.85</v>
      </c>
      <c r="L18" s="19">
        <v>0.017365007294585</v>
      </c>
    </row>
    <row r="19" s="1" customFormat="1" spans="1:13">
      <c r="A19" s="10" t="s">
        <v>30</v>
      </c>
      <c r="B19" s="11">
        <v>6124513826.84997</v>
      </c>
      <c r="C19" s="11">
        <v>483974685.969995</v>
      </c>
      <c r="D19" s="11">
        <v>651505457.459996</v>
      </c>
      <c r="E19" s="11">
        <v>426651868.109996</v>
      </c>
      <c r="F19" s="12">
        <v>0.881558231201472</v>
      </c>
      <c r="G19" s="12">
        <v>0.654870750850455</v>
      </c>
      <c r="H19" s="12">
        <v>0.0696629773680235</v>
      </c>
      <c r="I19" s="13">
        <v>22437887.6</v>
      </c>
      <c r="J19" s="14">
        <v>0.029302172247542</v>
      </c>
      <c r="K19" s="13">
        <v>6057474.8</v>
      </c>
      <c r="L19" s="14">
        <v>0.0117435597155496</v>
      </c>
      <c r="M19" s="3"/>
    </row>
    <row r="20" s="1" customFormat="1" spans="1:13">
      <c r="A20" s="10" t="s">
        <v>31</v>
      </c>
      <c r="B20" s="11">
        <v>4569402645.47999</v>
      </c>
      <c r="C20" s="11">
        <v>344324852.709997</v>
      </c>
      <c r="D20" s="11">
        <v>496548002.429998</v>
      </c>
      <c r="E20" s="11">
        <v>295485223.229998</v>
      </c>
      <c r="F20" s="12">
        <v>0.858158279614126</v>
      </c>
      <c r="G20" s="12">
        <v>0.595078868073092</v>
      </c>
      <c r="H20" s="12">
        <v>0.0646660507194062</v>
      </c>
      <c r="I20" s="13">
        <v>21614643.96</v>
      </c>
      <c r="J20" s="14">
        <v>0.049163170628984</v>
      </c>
      <c r="K20" s="13">
        <v>8811628.31</v>
      </c>
      <c r="L20" s="14">
        <v>0.02538189263865</v>
      </c>
      <c r="M20" s="3"/>
    </row>
    <row r="21" s="1" customFormat="1" spans="1:13">
      <c r="A21" s="10" t="s">
        <v>32</v>
      </c>
      <c r="B21" s="11">
        <v>4810435842.78001</v>
      </c>
      <c r="C21" s="11">
        <v>353100473.43</v>
      </c>
      <c r="D21" s="11">
        <v>666766915.93</v>
      </c>
      <c r="E21" s="11">
        <v>293113027.45</v>
      </c>
      <c r="F21" s="12">
        <v>0.830112247097024</v>
      </c>
      <c r="G21" s="12">
        <v>0.439603436294029</v>
      </c>
      <c r="H21" s="12">
        <v>0.0609327381197556</v>
      </c>
      <c r="I21" s="13">
        <v>56833094.65</v>
      </c>
      <c r="J21" s="14">
        <v>0.144595550549166</v>
      </c>
      <c r="K21" s="13">
        <v>45230022.39</v>
      </c>
      <c r="L21" s="14">
        <v>0.123696463270848</v>
      </c>
      <c r="M21" s="3"/>
    </row>
    <row r="22" s="1" customFormat="1" spans="1:13">
      <c r="A22" s="10" t="s">
        <v>33</v>
      </c>
      <c r="B22" s="11">
        <v>3524694314.88</v>
      </c>
      <c r="C22" s="11">
        <v>271437964.030003</v>
      </c>
      <c r="D22" s="11">
        <v>418053634.609999</v>
      </c>
      <c r="E22" s="11">
        <v>228587816.300002</v>
      </c>
      <c r="F22" s="12">
        <v>0.842136497438269</v>
      </c>
      <c r="G22" s="12">
        <v>0.54679064449051</v>
      </c>
      <c r="H22" s="12">
        <v>0.0648532314802409</v>
      </c>
      <c r="I22" s="13">
        <v>13025955.81</v>
      </c>
      <c r="J22" s="14">
        <v>0.0380050148541528</v>
      </c>
      <c r="K22" s="13">
        <v>6949614.52</v>
      </c>
      <c r="L22" s="14">
        <v>0.0256578357030232</v>
      </c>
      <c r="M22" s="3"/>
    </row>
    <row r="23" s="1" customFormat="1" spans="1:13">
      <c r="A23" s="10" t="s">
        <v>34</v>
      </c>
      <c r="B23" s="11">
        <v>5864409812.59</v>
      </c>
      <c r="C23" s="11">
        <v>437819759.090002</v>
      </c>
      <c r="D23" s="11">
        <v>459507445.550002</v>
      </c>
      <c r="E23" s="11">
        <v>397443524.630001</v>
      </c>
      <c r="F23" s="12">
        <v>0.907778866481672</v>
      </c>
      <c r="G23" s="12">
        <v>0.864933807882668</v>
      </c>
      <c r="H23" s="12">
        <v>0.0677721266642638</v>
      </c>
      <c r="I23" s="13">
        <v>18756838.12</v>
      </c>
      <c r="J23" s="14">
        <v>0.00914841897575907</v>
      </c>
      <c r="K23" s="13">
        <v>1944625.19</v>
      </c>
      <c r="L23" s="14">
        <v>0.00351882124486507</v>
      </c>
      <c r="M23" s="3"/>
    </row>
    <row r="24" s="1" customFormat="1" spans="1:13">
      <c r="A24" s="15" t="s">
        <v>35</v>
      </c>
      <c r="B24" s="16">
        <v>24893456442.58</v>
      </c>
      <c r="C24" s="16">
        <v>1890657735.23</v>
      </c>
      <c r="D24" s="16">
        <v>2692381455.98</v>
      </c>
      <c r="E24" s="16">
        <v>1641281459.72</v>
      </c>
      <c r="F24" s="17">
        <v>0.86810078267304</v>
      </c>
      <c r="G24" s="17">
        <v>0.609602126056313</v>
      </c>
      <c r="H24" s="17">
        <v>0.0659322446244389</v>
      </c>
      <c r="I24" s="18">
        <v>132668420.14</v>
      </c>
      <c r="J24" s="19">
        <v>0.0486068947444282</v>
      </c>
      <c r="K24" s="18">
        <v>68993365.21</v>
      </c>
      <c r="L24" s="19">
        <v>0.0333603876776608</v>
      </c>
    </row>
    <row r="25" s="1" customFormat="1" spans="1:13">
      <c r="A25" s="10" t="s">
        <v>36</v>
      </c>
      <c r="B25" s="11">
        <v>2915790724.4</v>
      </c>
      <c r="C25" s="11">
        <v>236912203.129999</v>
      </c>
      <c r="D25" s="11">
        <v>253924259.949999</v>
      </c>
      <c r="E25" s="11">
        <v>216729338.699999</v>
      </c>
      <c r="F25" s="12">
        <v>0.914808675267248</v>
      </c>
      <c r="G25" s="12">
        <v>0.853519623302933</v>
      </c>
      <c r="H25" s="12">
        <v>0.0743295247105216</v>
      </c>
      <c r="I25" s="13">
        <v>7544028.19</v>
      </c>
      <c r="J25" s="14">
        <v>0.00797561265856749</v>
      </c>
      <c r="K25" s="13">
        <v>1593686.7</v>
      </c>
      <c r="L25" s="14">
        <v>0.00734815201504163</v>
      </c>
      <c r="M25" s="3"/>
    </row>
    <row r="26" s="1" customFormat="1" spans="1:13">
      <c r="A26" s="10" t="s">
        <v>37</v>
      </c>
      <c r="B26" s="11">
        <v>5073883344.50999</v>
      </c>
      <c r="C26" s="11">
        <v>392790907.089995</v>
      </c>
      <c r="D26" s="11">
        <v>444017284.059995</v>
      </c>
      <c r="E26" s="11">
        <v>351725163.309996</v>
      </c>
      <c r="F26" s="12">
        <v>0.895451388922834</v>
      </c>
      <c r="G26" s="12">
        <v>0.792142954647845</v>
      </c>
      <c r="H26" s="12">
        <v>0.0693207035771856</v>
      </c>
      <c r="I26" s="13">
        <v>19973902.89</v>
      </c>
      <c r="J26" s="14">
        <v>0.0139780755897117</v>
      </c>
      <c r="K26" s="13">
        <v>2827216.52</v>
      </c>
      <c r="L26" s="14">
        <v>0.0069276154874601</v>
      </c>
      <c r="M26" s="3"/>
    </row>
    <row r="27" s="1" customFormat="1" spans="1:13">
      <c r="A27" s="10" t="s">
        <v>38</v>
      </c>
      <c r="B27" s="11">
        <v>3182674743.51999</v>
      </c>
      <c r="C27" s="11">
        <v>256821811.359998</v>
      </c>
      <c r="D27" s="11">
        <v>306371482.43</v>
      </c>
      <c r="E27" s="11">
        <v>228930206.929999</v>
      </c>
      <c r="F27" s="12">
        <v>0.89139705742943</v>
      </c>
      <c r="G27" s="12">
        <v>0.747230796790316</v>
      </c>
      <c r="H27" s="12">
        <v>0.0719301296483741</v>
      </c>
      <c r="I27" s="13">
        <v>15355539.5</v>
      </c>
      <c r="J27" s="14">
        <v>0.0206955386767843</v>
      </c>
      <c r="K27" s="13">
        <v>902685.72</v>
      </c>
      <c r="L27" s="14">
        <v>0.00388960493873804</v>
      </c>
      <c r="M27" s="3"/>
    </row>
    <row r="28" s="1" customFormat="1" spans="1:13">
      <c r="A28" s="15" t="s">
        <v>39</v>
      </c>
      <c r="B28" s="16">
        <v>11172348812.43</v>
      </c>
      <c r="C28" s="16">
        <v>886524921.579993</v>
      </c>
      <c r="D28" s="16">
        <v>1004313026.43999</v>
      </c>
      <c r="E28" s="16">
        <v>797384708.939994</v>
      </c>
      <c r="F28" s="17">
        <v>0.89944985135767</v>
      </c>
      <c r="G28" s="17">
        <v>0.793960337014146</v>
      </c>
      <c r="H28" s="17">
        <v>0.0713712686854935</v>
      </c>
      <c r="I28" s="18">
        <v>42873470.58</v>
      </c>
      <c r="J28" s="19">
        <v>0.0144408053803933</v>
      </c>
      <c r="K28" s="18">
        <v>5323588.94</v>
      </c>
      <c r="L28" s="19">
        <v>0.00615205832925616</v>
      </c>
    </row>
    <row r="29" s="1" customFormat="1" spans="1:13">
      <c r="A29" s="20" t="s">
        <v>40</v>
      </c>
      <c r="B29" s="21">
        <v>58149561691.8699</v>
      </c>
      <c r="C29" s="21">
        <v>5974791291.55998</v>
      </c>
      <c r="D29" s="21">
        <v>5658400737.66999</v>
      </c>
      <c r="E29" s="21">
        <v>3764024430.49999</v>
      </c>
      <c r="F29" s="22">
        <v>0.629984253310583</v>
      </c>
      <c r="G29" s="22">
        <v>0.665209942703694</v>
      </c>
      <c r="H29" s="22">
        <v>0.0647300567877926</v>
      </c>
      <c r="I29" s="23">
        <v>265054051.35</v>
      </c>
      <c r="J29" s="24">
        <v>0.0374320805461418</v>
      </c>
      <c r="K29" s="23">
        <v>102525854</v>
      </c>
      <c r="L29" s="24">
        <v>0.0224587605994102</v>
      </c>
    </row>
    <row r="30" s="1" customFormat="1" spans="1:13">
      <c r="A30" s="10" t="s">
        <v>41</v>
      </c>
      <c r="B30" s="11">
        <v>4016485976.02999</v>
      </c>
      <c r="C30" s="11">
        <v>323431401.699999</v>
      </c>
      <c r="D30" s="11">
        <v>368400446.199998</v>
      </c>
      <c r="E30" s="11">
        <v>284051669.84</v>
      </c>
      <c r="F30" s="12">
        <v>0.878243943992409</v>
      </c>
      <c r="G30" s="12">
        <v>0.771040515205548</v>
      </c>
      <c r="H30" s="12">
        <v>0.0707214394710186</v>
      </c>
      <c r="I30" s="13">
        <v>28367947.38</v>
      </c>
      <c r="J30" s="14">
        <v>0.021434807565504</v>
      </c>
      <c r="K30" s="13">
        <v>3327326.03</v>
      </c>
      <c r="L30" s="14">
        <v>0.0109558019956353</v>
      </c>
      <c r="M30" s="3"/>
    </row>
    <row r="31" s="1" customFormat="1" spans="1:13">
      <c r="A31" s="10" t="s">
        <v>42</v>
      </c>
      <c r="B31" s="11">
        <v>5294710490.86</v>
      </c>
      <c r="C31" s="11">
        <v>357078398.449995</v>
      </c>
      <c r="D31" s="11">
        <v>379476529.249995</v>
      </c>
      <c r="E31" s="11">
        <v>318790380.809998</v>
      </c>
      <c r="F31" s="12">
        <v>0.892774198029905</v>
      </c>
      <c r="G31" s="12">
        <v>0.840079309885281</v>
      </c>
      <c r="H31" s="12">
        <v>0.0602092184946296</v>
      </c>
      <c r="I31" s="13">
        <v>18937372.38</v>
      </c>
      <c r="J31" s="14">
        <v>0.0232105545210613</v>
      </c>
      <c r="K31" s="13">
        <v>2530077.04</v>
      </c>
      <c r="L31" s="14">
        <v>0.00721271001060105</v>
      </c>
      <c r="M31" s="3"/>
    </row>
    <row r="32" s="1" customFormat="1" spans="1:13">
      <c r="A32" s="10" t="s">
        <v>43</v>
      </c>
      <c r="B32" s="11">
        <v>0</v>
      </c>
      <c r="C32" s="11">
        <v>0</v>
      </c>
      <c r="D32" s="11">
        <v>0</v>
      </c>
      <c r="E32" s="11">
        <v>0</v>
      </c>
      <c r="F32" s="12">
        <v>0</v>
      </c>
      <c r="G32" s="12">
        <v>0</v>
      </c>
      <c r="H32" s="12">
        <v>0</v>
      </c>
      <c r="I32" s="13">
        <v>0</v>
      </c>
      <c r="J32" s="14" t="s">
        <v>207</v>
      </c>
      <c r="K32" s="13">
        <v>0</v>
      </c>
      <c r="L32" s="14">
        <v>0</v>
      </c>
      <c r="M32" s="3"/>
    </row>
    <row r="33" s="1" customFormat="1" spans="1:13">
      <c r="A33" s="15" t="s">
        <v>44</v>
      </c>
      <c r="B33" s="16">
        <v>9311196466.88999</v>
      </c>
      <c r="C33" s="16">
        <v>680509800.149994</v>
      </c>
      <c r="D33" s="16">
        <v>747876975.449993</v>
      </c>
      <c r="E33" s="16">
        <v>602842050.649997</v>
      </c>
      <c r="F33" s="17">
        <v>0.885868286565635</v>
      </c>
      <c r="G33" s="17">
        <v>0.806071145975943</v>
      </c>
      <c r="H33" s="17">
        <v>0.064743779469552</v>
      </c>
      <c r="I33" s="18">
        <v>47305319.76</v>
      </c>
      <c r="J33" s="19">
        <v>0.0223254681159982</v>
      </c>
      <c r="K33" s="18">
        <v>5857403.07</v>
      </c>
      <c r="L33" s="19">
        <v>0.00907838114042402</v>
      </c>
    </row>
    <row r="34" s="1" customFormat="1" spans="1:13">
      <c r="A34" s="10" t="s">
        <v>45</v>
      </c>
      <c r="B34" s="11">
        <v>1417003042.56</v>
      </c>
      <c r="C34" s="11">
        <v>93959749.6800001</v>
      </c>
      <c r="D34" s="11">
        <v>95930107.6100001</v>
      </c>
      <c r="E34" s="11">
        <v>85651936.8400001</v>
      </c>
      <c r="F34" s="12">
        <v>0.911581151841144</v>
      </c>
      <c r="G34" s="12">
        <v>0.892857716664037</v>
      </c>
      <c r="H34" s="12">
        <v>0.0604458383415033</v>
      </c>
      <c r="I34" s="13">
        <v>13365621.66</v>
      </c>
      <c r="J34" s="14">
        <v>0.0134227848105631</v>
      </c>
      <c r="K34" s="13">
        <v>3466206.2</v>
      </c>
      <c r="L34" s="14">
        <v>0.00998147356846321</v>
      </c>
      <c r="M34" s="3"/>
    </row>
    <row r="35" s="1" customFormat="1" spans="1:13">
      <c r="A35" s="10" t="s">
        <v>46</v>
      </c>
      <c r="B35" s="11">
        <v>8992631066.79004</v>
      </c>
      <c r="C35" s="11">
        <v>567485694.959997</v>
      </c>
      <c r="D35" s="11">
        <v>653642806.319997</v>
      </c>
      <c r="E35" s="11">
        <v>503459940.819997</v>
      </c>
      <c r="F35" s="12">
        <v>0.887176443902233</v>
      </c>
      <c r="G35" s="12">
        <v>0.770237101903519</v>
      </c>
      <c r="H35" s="12">
        <v>0.0559858329648689</v>
      </c>
      <c r="I35" s="13">
        <v>34925765.07</v>
      </c>
      <c r="J35" s="14">
        <v>0.0120892805007097</v>
      </c>
      <c r="K35" s="13">
        <v>7202034.65</v>
      </c>
      <c r="L35" s="14">
        <v>0.00880898067230527</v>
      </c>
      <c r="M35" s="3"/>
    </row>
    <row r="36" s="1" customFormat="1" spans="1:13">
      <c r="A36" s="15" t="s">
        <v>47</v>
      </c>
      <c r="B36" s="16">
        <v>10409634109.35</v>
      </c>
      <c r="C36" s="16">
        <v>661445444.639997</v>
      </c>
      <c r="D36" s="16">
        <v>749572913.929997</v>
      </c>
      <c r="E36" s="16">
        <v>589111877.659997</v>
      </c>
      <c r="F36" s="17">
        <v>0.890643185214816</v>
      </c>
      <c r="G36" s="17">
        <v>0.785930049915084</v>
      </c>
      <c r="H36" s="17">
        <v>0.0565929475975387</v>
      </c>
      <c r="I36" s="18">
        <v>48291386.73</v>
      </c>
      <c r="J36" s="19">
        <v>0.0124997481670596</v>
      </c>
      <c r="K36" s="18">
        <v>10668240.85</v>
      </c>
      <c r="L36" s="19">
        <v>0.0091698872095708</v>
      </c>
    </row>
    <row r="37" s="1" customFormat="1" spans="1:13">
      <c r="A37" s="20" t="s">
        <v>48</v>
      </c>
      <c r="B37" s="21">
        <v>19720830576.24</v>
      </c>
      <c r="C37" s="21">
        <v>1341955244.78999</v>
      </c>
      <c r="D37" s="21">
        <v>1497449889.37999</v>
      </c>
      <c r="E37" s="21">
        <v>1191953928.30999</v>
      </c>
      <c r="F37" s="22">
        <v>0.888221818825657</v>
      </c>
      <c r="G37" s="22">
        <v>0.795989192535529</v>
      </c>
      <c r="H37" s="22">
        <v>0.0604413654740323</v>
      </c>
      <c r="I37" s="23">
        <v>95596706.49</v>
      </c>
      <c r="J37" s="24">
        <v>0.0161167761699574</v>
      </c>
      <c r="K37" s="23">
        <v>16525643.92</v>
      </c>
      <c r="L37" s="24">
        <v>0.00913620214463316</v>
      </c>
    </row>
    <row r="38" s="1" customFormat="1" spans="1:13">
      <c r="A38" s="10" t="s">
        <v>49</v>
      </c>
      <c r="B38" s="11">
        <v>10042900331.98</v>
      </c>
      <c r="C38" s="11">
        <v>751746300.460002</v>
      </c>
      <c r="D38" s="11">
        <v>1032140684.28</v>
      </c>
      <c r="E38" s="11">
        <v>656138520.770002</v>
      </c>
      <c r="F38" s="12">
        <v>0.872819088525616</v>
      </c>
      <c r="G38" s="12">
        <v>0.635706479517092</v>
      </c>
      <c r="H38" s="12">
        <v>0.0653335688974861</v>
      </c>
      <c r="I38" s="13">
        <v>49658982.05</v>
      </c>
      <c r="J38" s="14">
        <v>0.0458994772328441</v>
      </c>
      <c r="K38" s="13">
        <v>10716900.54</v>
      </c>
      <c r="L38" s="14">
        <v>0.0159539847043114</v>
      </c>
      <c r="M38" s="3"/>
    </row>
    <row r="39" s="1" customFormat="1" spans="1:13">
      <c r="A39" s="10" t="s">
        <v>50</v>
      </c>
      <c r="B39" s="11">
        <v>5623291867.25001</v>
      </c>
      <c r="C39" s="11">
        <v>532872176.650003</v>
      </c>
      <c r="D39" s="11">
        <v>695404893.060002</v>
      </c>
      <c r="E39" s="11">
        <v>461720830.869999</v>
      </c>
      <c r="F39" s="12">
        <v>0.866475772431374</v>
      </c>
      <c r="G39" s="12">
        <v>0.663959709627984</v>
      </c>
      <c r="H39" s="12">
        <v>0.0821086370350179</v>
      </c>
      <c r="I39" s="13">
        <v>55697468.44</v>
      </c>
      <c r="J39" s="14">
        <v>0.0370092819526745</v>
      </c>
      <c r="K39" s="13">
        <v>4753305.35</v>
      </c>
      <c r="L39" s="14">
        <v>0.0144294440181124</v>
      </c>
      <c r="M39" s="3"/>
    </row>
    <row r="40" s="1" customFormat="1" spans="1:13">
      <c r="A40" s="10" t="s">
        <v>51</v>
      </c>
      <c r="B40" s="11">
        <v>4089960160.18</v>
      </c>
      <c r="C40" s="11">
        <v>402003544.199999</v>
      </c>
      <c r="D40" s="11">
        <v>427914044.24</v>
      </c>
      <c r="E40" s="11">
        <v>345637238.02</v>
      </c>
      <c r="F40" s="12">
        <v>0.859786544190375</v>
      </c>
      <c r="G40" s="12">
        <v>0.807725856798816</v>
      </c>
      <c r="H40" s="12">
        <v>0.0845087053378017</v>
      </c>
      <c r="I40" s="13">
        <v>29548586.06</v>
      </c>
      <c r="J40" s="14">
        <v>0.0321504617052429</v>
      </c>
      <c r="K40" s="13">
        <v>7226923.89</v>
      </c>
      <c r="L40" s="14">
        <v>0.0163851457938894</v>
      </c>
      <c r="M40" s="3"/>
    </row>
    <row r="41" s="1" customFormat="1" spans="1:13">
      <c r="A41" s="10" t="s">
        <v>52</v>
      </c>
      <c r="B41" s="11">
        <v>2123876007.21</v>
      </c>
      <c r="C41" s="11">
        <v>177525065.35</v>
      </c>
      <c r="D41" s="11">
        <v>215431735.25</v>
      </c>
      <c r="E41" s="11">
        <v>156970988.59</v>
      </c>
      <c r="F41" s="12">
        <v>0.884218734298301</v>
      </c>
      <c r="G41" s="12">
        <v>0.728634471647558</v>
      </c>
      <c r="H41" s="12">
        <v>0.0739077931372287</v>
      </c>
      <c r="I41" s="13">
        <v>13643183.53</v>
      </c>
      <c r="J41" s="14">
        <v>0.0398601554641224</v>
      </c>
      <c r="K41" s="13">
        <v>2598264.86</v>
      </c>
      <c r="L41" s="14">
        <v>0.0141079616182752</v>
      </c>
      <c r="M41" s="3"/>
    </row>
    <row r="42" s="1" customFormat="1" spans="1:13">
      <c r="A42" s="10" t="s">
        <v>53</v>
      </c>
      <c r="B42" s="11">
        <v>3645765205.46001</v>
      </c>
      <c r="C42" s="11">
        <v>298559421.740001</v>
      </c>
      <c r="D42" s="11">
        <v>336786516.880001</v>
      </c>
      <c r="E42" s="11">
        <v>266523728.370001</v>
      </c>
      <c r="F42" s="12">
        <v>0.892699104307958</v>
      </c>
      <c r="G42" s="12">
        <v>0.791372917298125</v>
      </c>
      <c r="H42" s="12">
        <v>0.0731050172871381</v>
      </c>
      <c r="I42" s="13">
        <v>27060944.6</v>
      </c>
      <c r="J42" s="14">
        <v>0.0165279582246694</v>
      </c>
      <c r="K42" s="13">
        <v>620694.76</v>
      </c>
      <c r="L42" s="14">
        <v>0.00247120799565606</v>
      </c>
      <c r="M42" s="3"/>
    </row>
    <row r="43" s="1" customFormat="1" spans="1:13">
      <c r="A43" s="15" t="s">
        <v>54</v>
      </c>
      <c r="B43" s="16">
        <v>25525793572.08</v>
      </c>
      <c r="C43" s="16">
        <v>2162706508.4</v>
      </c>
      <c r="D43" s="16">
        <v>2707677873.71</v>
      </c>
      <c r="E43" s="16">
        <v>1886991306.62</v>
      </c>
      <c r="F43" s="17">
        <v>0.872513815115866</v>
      </c>
      <c r="G43" s="17">
        <v>0.696903913475677</v>
      </c>
      <c r="H43" s="17">
        <v>0.0739248831301363</v>
      </c>
      <c r="I43" s="18">
        <v>175609164.68</v>
      </c>
      <c r="J43" s="19">
        <v>0.0366455970667166</v>
      </c>
      <c r="K43" s="18">
        <v>25916089.4</v>
      </c>
      <c r="L43" s="19">
        <v>0.0138219757581733</v>
      </c>
    </row>
    <row r="44" s="1" customFormat="1" spans="1:13">
      <c r="A44" s="10" t="s">
        <v>55</v>
      </c>
      <c r="B44" s="11">
        <v>2708928058.08999</v>
      </c>
      <c r="C44" s="11">
        <v>209613701.72</v>
      </c>
      <c r="D44" s="11">
        <v>298698230.689999</v>
      </c>
      <c r="E44" s="11">
        <v>177702021.58</v>
      </c>
      <c r="F44" s="12">
        <v>0.847759569731623</v>
      </c>
      <c r="G44" s="12">
        <v>0.594921574090027</v>
      </c>
      <c r="H44" s="12">
        <v>0.0655986492698865</v>
      </c>
      <c r="I44" s="13">
        <v>15068205.33</v>
      </c>
      <c r="J44" s="14">
        <v>0.0215000546532022</v>
      </c>
      <c r="K44" s="13">
        <v>2506585</v>
      </c>
      <c r="L44" s="14">
        <v>0.00924022463665023</v>
      </c>
      <c r="M44" s="3"/>
    </row>
    <row r="45" s="1" customFormat="1" spans="1:13">
      <c r="A45" s="10" t="s">
        <v>56</v>
      </c>
      <c r="B45" s="11">
        <v>3680237857.75</v>
      </c>
      <c r="C45" s="11">
        <v>278602172.079999</v>
      </c>
      <c r="D45" s="11">
        <v>361603040.39</v>
      </c>
      <c r="E45" s="11">
        <v>242367661.53</v>
      </c>
      <c r="F45" s="12">
        <v>0.869941751424698</v>
      </c>
      <c r="G45" s="12">
        <v>0.670258915048387</v>
      </c>
      <c r="H45" s="12">
        <v>0.0658565209364421</v>
      </c>
      <c r="I45" s="13">
        <v>23965046.69</v>
      </c>
      <c r="J45" s="14">
        <v>0.0476234233148931</v>
      </c>
      <c r="K45" s="13">
        <v>6187442.5</v>
      </c>
      <c r="L45" s="14">
        <v>0.0203578582870195</v>
      </c>
      <c r="M45" s="3"/>
    </row>
    <row r="46" s="1" customFormat="1" spans="1:13">
      <c r="A46" s="10" t="s">
        <v>57</v>
      </c>
      <c r="B46" s="11">
        <v>9690075008.32998</v>
      </c>
      <c r="C46" s="11">
        <v>637884759.540004</v>
      </c>
      <c r="D46" s="11">
        <v>912510406.47</v>
      </c>
      <c r="E46" s="11">
        <v>549688747.910002</v>
      </c>
      <c r="F46" s="12">
        <v>0.861736763089303</v>
      </c>
      <c r="G46" s="12">
        <v>0.60239175795972</v>
      </c>
      <c r="H46" s="12">
        <v>0.0567269858527892</v>
      </c>
      <c r="I46" s="13">
        <v>70695431.04</v>
      </c>
      <c r="J46" s="14">
        <v>0.0463949413680001</v>
      </c>
      <c r="K46" s="13">
        <v>8509935.68</v>
      </c>
      <c r="L46" s="14">
        <v>0.0117884211119153</v>
      </c>
      <c r="M46" s="3"/>
    </row>
    <row r="47" s="1" customFormat="1" spans="1:13">
      <c r="A47" s="10" t="s">
        <v>58</v>
      </c>
      <c r="B47" s="11">
        <v>1316047377.82</v>
      </c>
      <c r="C47" s="11">
        <v>91273039.3</v>
      </c>
      <c r="D47" s="11">
        <v>125419309.03</v>
      </c>
      <c r="E47" s="11">
        <v>75223607.01</v>
      </c>
      <c r="F47" s="12">
        <v>0.82416020751486</v>
      </c>
      <c r="G47" s="12">
        <v>0.599776921048151</v>
      </c>
      <c r="H47" s="12">
        <v>0.0571587378066936</v>
      </c>
      <c r="I47" s="13">
        <v>5034362.91</v>
      </c>
      <c r="J47" s="14">
        <v>0</v>
      </c>
      <c r="K47" s="13">
        <v>0</v>
      </c>
      <c r="L47" s="14">
        <v>0</v>
      </c>
      <c r="M47" s="3"/>
    </row>
    <row r="48" s="1" customFormat="1" spans="1:13">
      <c r="A48" s="15" t="s">
        <v>59</v>
      </c>
      <c r="B48" s="16">
        <v>17395288301.99</v>
      </c>
      <c r="C48" s="16">
        <v>1217373672.64</v>
      </c>
      <c r="D48" s="16">
        <v>1698230986.58</v>
      </c>
      <c r="E48" s="16">
        <v>1044982038.03</v>
      </c>
      <c r="F48" s="17">
        <v>0.858390534899484</v>
      </c>
      <c r="G48" s="17">
        <v>0.615335632365565</v>
      </c>
      <c r="H48" s="17">
        <v>0.0600727058895861</v>
      </c>
      <c r="I48" s="18">
        <v>114763045.97</v>
      </c>
      <c r="J48" s="19">
        <v>0.0383151319426097</v>
      </c>
      <c r="K48" s="18">
        <v>17203963.18</v>
      </c>
      <c r="L48" s="19">
        <v>0.0122405207868545</v>
      </c>
    </row>
    <row r="49" s="1" customFormat="1" spans="1:13">
      <c r="A49" s="20" t="s">
        <v>60</v>
      </c>
      <c r="B49" s="21">
        <v>42921081874.07</v>
      </c>
      <c r="C49" s="21">
        <v>3380080181.04001</v>
      </c>
      <c r="D49" s="21">
        <v>4405908860.29</v>
      </c>
      <c r="E49" s="21">
        <v>2931973344.65</v>
      </c>
      <c r="F49" s="22">
        <v>0.867427157821999</v>
      </c>
      <c r="G49" s="22">
        <v>0.665463911674518</v>
      </c>
      <c r="H49" s="22">
        <v>0.0683107977858615</v>
      </c>
      <c r="I49" s="23">
        <v>290372210.65</v>
      </c>
      <c r="J49" s="24">
        <v>0.0373585238883698</v>
      </c>
      <c r="K49" s="23">
        <v>43120052.58</v>
      </c>
      <c r="L49" s="24">
        <v>0.0131466609249405</v>
      </c>
    </row>
    <row r="50" s="1" customFormat="1" spans="1:13">
      <c r="A50" s="25" t="s">
        <v>61</v>
      </c>
      <c r="B50" s="26">
        <v>169262763823.95</v>
      </c>
      <c r="C50" s="26">
        <v>14424844948.43</v>
      </c>
      <c r="D50" s="26">
        <v>15469486265.19</v>
      </c>
      <c r="E50" s="26">
        <v>10786494761.53</v>
      </c>
      <c r="F50" s="27">
        <v>0.74777197259954</v>
      </c>
      <c r="G50" s="27">
        <v>0.69727556407624</v>
      </c>
      <c r="H50" s="27">
        <v>0.0637263301026386</v>
      </c>
      <c r="I50" s="28">
        <v>867197912.1</v>
      </c>
      <c r="J50" s="29">
        <v>0.0324609963278857</v>
      </c>
      <c r="K50" s="28">
        <v>220882031.82</v>
      </c>
      <c r="L50" s="29">
        <v>0.0165630319218202</v>
      </c>
    </row>
    <row r="51" s="1" customFormat="1" spans="1:13">
      <c r="A51" s="10" t="s">
        <v>62</v>
      </c>
      <c r="B51" s="11">
        <v>7624196060.32</v>
      </c>
      <c r="C51" s="11">
        <v>274905551.330001</v>
      </c>
      <c r="D51" s="11">
        <v>387707080.74</v>
      </c>
      <c r="E51" s="11">
        <v>254142716.110001</v>
      </c>
      <c r="F51" s="12">
        <v>0.924472841237474</v>
      </c>
      <c r="G51" s="12">
        <v>0.655501869155779</v>
      </c>
      <c r="H51" s="12">
        <v>0.0333337068065028</v>
      </c>
      <c r="I51" s="13">
        <v>26920303.84</v>
      </c>
      <c r="J51" s="14">
        <v>0.0227474886121076</v>
      </c>
      <c r="K51" s="13">
        <v>5517049.17</v>
      </c>
      <c r="L51" s="14">
        <v>0.0108171031665161</v>
      </c>
      <c r="M51" s="3"/>
    </row>
    <row r="52" s="1" customFormat="1" spans="1:13">
      <c r="A52" s="10" t="s">
        <v>63</v>
      </c>
      <c r="B52" s="11">
        <v>6698859413.95999</v>
      </c>
      <c r="C52" s="11">
        <v>292993184.66</v>
      </c>
      <c r="D52" s="11">
        <v>367795881.43</v>
      </c>
      <c r="E52" s="11">
        <v>272685692.499999</v>
      </c>
      <c r="F52" s="12">
        <v>0.930689540838413</v>
      </c>
      <c r="G52" s="12">
        <v>0.741404964731498</v>
      </c>
      <c r="H52" s="12">
        <v>0.0407062867943967</v>
      </c>
      <c r="I52" s="13">
        <v>26716199.47</v>
      </c>
      <c r="J52" s="14">
        <v>0.0302296560654643</v>
      </c>
      <c r="K52" s="13">
        <v>7055102.96</v>
      </c>
      <c r="L52" s="14">
        <v>0.0156695856253315</v>
      </c>
      <c r="M52" s="3"/>
    </row>
    <row r="53" s="1" customFormat="1" spans="1:13">
      <c r="A53" s="10" t="s">
        <v>64</v>
      </c>
      <c r="B53" s="11">
        <v>5726814585.85001</v>
      </c>
      <c r="C53" s="11">
        <v>399126578.7</v>
      </c>
      <c r="D53" s="11">
        <v>556227700.030001</v>
      </c>
      <c r="E53" s="11">
        <v>347953967.800001</v>
      </c>
      <c r="F53" s="12">
        <v>0.871788516147749</v>
      </c>
      <c r="G53" s="12">
        <v>0.625560301619702</v>
      </c>
      <c r="H53" s="12">
        <v>0.060758727663322</v>
      </c>
      <c r="I53" s="13">
        <v>37942649.32</v>
      </c>
      <c r="J53" s="14">
        <v>0.0631909831416941</v>
      </c>
      <c r="K53" s="13">
        <v>13787267.45</v>
      </c>
      <c r="L53" s="14">
        <v>0.0287873030544475</v>
      </c>
      <c r="M53" s="3"/>
    </row>
    <row r="54" s="1" customFormat="1" spans="1:13">
      <c r="A54" s="10" t="s">
        <v>65</v>
      </c>
      <c r="B54" s="11">
        <v>0</v>
      </c>
      <c r="C54" s="11">
        <v>0</v>
      </c>
      <c r="D54" s="11">
        <v>0</v>
      </c>
      <c r="E54" s="11">
        <v>0</v>
      </c>
      <c r="F54" s="12">
        <v>0</v>
      </c>
      <c r="G54" s="12">
        <v>0</v>
      </c>
      <c r="H54" s="12">
        <v>0</v>
      </c>
      <c r="I54" s="13">
        <v>0</v>
      </c>
      <c r="J54" s="14" t="s">
        <v>207</v>
      </c>
      <c r="K54" s="13">
        <v>0</v>
      </c>
      <c r="L54" s="14">
        <v>0</v>
      </c>
      <c r="M54" s="3"/>
    </row>
    <row r="55" s="1" customFormat="1" spans="1:13">
      <c r="A55" s="15" t="s">
        <v>66</v>
      </c>
      <c r="B55" s="16">
        <v>20049870060.13</v>
      </c>
      <c r="C55" s="16">
        <v>967025314.690001</v>
      </c>
      <c r="D55" s="16">
        <v>1311730662.2</v>
      </c>
      <c r="E55" s="16">
        <v>874782376.410001</v>
      </c>
      <c r="F55" s="17">
        <v>0.904611661268071</v>
      </c>
      <c r="G55" s="17">
        <v>0.666891764916769</v>
      </c>
      <c r="H55" s="17">
        <v>0.0436303264702719</v>
      </c>
      <c r="I55" s="18">
        <v>91579152.63</v>
      </c>
      <c r="J55" s="19">
        <v>0.0384691709812778</v>
      </c>
      <c r="K55" s="18">
        <v>26359419.58</v>
      </c>
      <c r="L55" s="19">
        <v>0.0182873523057658</v>
      </c>
    </row>
    <row r="56" s="1" customFormat="1" spans="1:13">
      <c r="A56" s="10" t="s">
        <v>67</v>
      </c>
      <c r="B56" s="11">
        <v>10308865193.19</v>
      </c>
      <c r="C56" s="11">
        <v>583047813.57</v>
      </c>
      <c r="D56" s="11">
        <v>807294378.95</v>
      </c>
      <c r="E56" s="11">
        <v>506940899.450001</v>
      </c>
      <c r="F56" s="12">
        <v>0.869467113419057</v>
      </c>
      <c r="G56" s="12">
        <v>0.627950488283281</v>
      </c>
      <c r="H56" s="12">
        <v>0.0491752380063021</v>
      </c>
      <c r="I56" s="13">
        <v>54980616.66</v>
      </c>
      <c r="J56" s="14">
        <v>0.0422733728751737</v>
      </c>
      <c r="K56" s="13">
        <v>8053323.48</v>
      </c>
      <c r="L56" s="14">
        <v>0.0159048719725838</v>
      </c>
      <c r="M56" s="3"/>
    </row>
    <row r="57" s="1" customFormat="1" spans="1:13">
      <c r="A57" s="10" t="s">
        <v>68</v>
      </c>
      <c r="B57" s="11">
        <v>0</v>
      </c>
      <c r="C57" s="11">
        <v>0</v>
      </c>
      <c r="D57" s="11">
        <v>0</v>
      </c>
      <c r="E57" s="11">
        <v>0</v>
      </c>
      <c r="F57" s="12">
        <v>0</v>
      </c>
      <c r="G57" s="12">
        <v>0</v>
      </c>
      <c r="H57" s="12">
        <v>0</v>
      </c>
      <c r="I57" s="13">
        <v>36827692.05</v>
      </c>
      <c r="J57" s="14">
        <v>0.028488458159533</v>
      </c>
      <c r="K57" s="13">
        <v>8061195.36</v>
      </c>
      <c r="L57" s="14">
        <v>0.016671000482493</v>
      </c>
      <c r="M57" s="3"/>
    </row>
    <row r="58" s="1" customFormat="1" spans="1:13">
      <c r="A58" s="10" t="s">
        <v>69</v>
      </c>
      <c r="B58" s="11">
        <v>7517647759.62</v>
      </c>
      <c r="C58" s="11">
        <v>382318684.430001</v>
      </c>
      <c r="D58" s="11">
        <v>417034226.340001</v>
      </c>
      <c r="E58" s="11">
        <v>350531320.550001</v>
      </c>
      <c r="F58" s="12">
        <v>0.916856368326879</v>
      </c>
      <c r="G58" s="12">
        <v>0.840533698220294</v>
      </c>
      <c r="H58" s="12">
        <v>0.0466277925966192</v>
      </c>
      <c r="I58" s="13">
        <v>47633735.26</v>
      </c>
      <c r="J58" s="14">
        <v>0.0414858347588555</v>
      </c>
      <c r="K58" s="13">
        <v>18890035.45</v>
      </c>
      <c r="L58" s="14">
        <v>0.0298524376582043</v>
      </c>
      <c r="M58" s="3"/>
    </row>
    <row r="59" s="1" customFormat="1" spans="1:13">
      <c r="A59" s="10" t="s">
        <v>70</v>
      </c>
      <c r="B59" s="11">
        <v>7615509201.49001</v>
      </c>
      <c r="C59" s="11">
        <v>373270197.299999</v>
      </c>
      <c r="D59" s="11">
        <v>419581729.66</v>
      </c>
      <c r="E59" s="11">
        <v>342379573.089999</v>
      </c>
      <c r="F59" s="12">
        <v>0.917243261226203</v>
      </c>
      <c r="G59" s="12">
        <v>0.816002101348502</v>
      </c>
      <c r="H59" s="12">
        <v>0.0449581983333447</v>
      </c>
      <c r="I59" s="13">
        <v>22106585.53</v>
      </c>
      <c r="J59" s="14">
        <v>0.0119745141657214</v>
      </c>
      <c r="K59" s="13">
        <v>1929247.23</v>
      </c>
      <c r="L59" s="14">
        <v>0.00295994048866271</v>
      </c>
      <c r="M59" s="3"/>
    </row>
    <row r="60" s="1" customFormat="1" spans="1:13">
      <c r="A60" s="10" t="s">
        <v>71</v>
      </c>
      <c r="B60" s="11">
        <v>0</v>
      </c>
      <c r="C60" s="11">
        <v>0</v>
      </c>
      <c r="D60" s="11">
        <v>0</v>
      </c>
      <c r="E60" s="11">
        <v>0</v>
      </c>
      <c r="F60" s="12">
        <v>0</v>
      </c>
      <c r="G60" s="12">
        <v>0</v>
      </c>
      <c r="H60" s="12">
        <v>0</v>
      </c>
      <c r="I60" s="13">
        <v>0</v>
      </c>
      <c r="J60" s="14">
        <v>0</v>
      </c>
      <c r="K60" s="13">
        <v>0</v>
      </c>
      <c r="L60" s="14">
        <v>0</v>
      </c>
      <c r="M60" s="3"/>
    </row>
    <row r="61" s="1" customFormat="1" spans="1:13">
      <c r="A61" s="15" t="s">
        <v>72</v>
      </c>
      <c r="B61" s="16">
        <v>25442022154.3</v>
      </c>
      <c r="C61" s="16">
        <v>1338636695.3</v>
      </c>
      <c r="D61" s="16">
        <v>1643910334.95</v>
      </c>
      <c r="E61" s="16">
        <v>1199851793.09</v>
      </c>
      <c r="F61" s="17">
        <v>0.896323698059916</v>
      </c>
      <c r="G61" s="17">
        <v>0.729876665156736</v>
      </c>
      <c r="H61" s="17">
        <v>0.0471602369423773</v>
      </c>
      <c r="I61" s="18">
        <v>161548629.5</v>
      </c>
      <c r="J61" s="19">
        <v>0.0303043239199971</v>
      </c>
      <c r="K61" s="18">
        <v>36933801.52</v>
      </c>
      <c r="L61" s="19">
        <v>0.0161719764086014</v>
      </c>
    </row>
    <row r="62" s="1" customFormat="1" spans="1:13">
      <c r="A62" s="20" t="s">
        <v>73</v>
      </c>
      <c r="B62" s="21">
        <v>45491892214.43</v>
      </c>
      <c r="C62" s="21">
        <v>2305662009.99</v>
      </c>
      <c r="D62" s="21">
        <v>2955640997.15</v>
      </c>
      <c r="E62" s="21">
        <v>2074634169.5</v>
      </c>
      <c r="F62" s="22">
        <v>0.899799780067938</v>
      </c>
      <c r="G62" s="22">
        <v>0.701923600159993</v>
      </c>
      <c r="H62" s="22">
        <v>0.0456044817771271</v>
      </c>
      <c r="I62" s="23">
        <v>253127782.13</v>
      </c>
      <c r="J62" s="24">
        <v>0.033484563161407</v>
      </c>
      <c r="K62" s="23">
        <v>63293221.1</v>
      </c>
      <c r="L62" s="24">
        <v>0.0169959234327162</v>
      </c>
    </row>
    <row r="63" s="1" customFormat="1" spans="1:13">
      <c r="A63" s="10" t="s">
        <v>74</v>
      </c>
      <c r="B63" s="11">
        <v>1519183871.29</v>
      </c>
      <c r="C63" s="11">
        <v>97413309.81</v>
      </c>
      <c r="D63" s="11">
        <v>89453858.56</v>
      </c>
      <c r="E63" s="11">
        <v>88862314.87</v>
      </c>
      <c r="F63" s="12">
        <v>0.912219439451567</v>
      </c>
      <c r="G63" s="12">
        <v>0.993387164069583</v>
      </c>
      <c r="H63" s="12">
        <v>0.0584934559597078</v>
      </c>
      <c r="I63" s="13">
        <v>0</v>
      </c>
      <c r="J63" s="14">
        <v>0</v>
      </c>
      <c r="K63" s="13">
        <v>0</v>
      </c>
      <c r="L63" s="14">
        <v>0</v>
      </c>
      <c r="M63" s="3"/>
    </row>
    <row r="64" s="1" customFormat="1" spans="1:13">
      <c r="A64" s="10" t="s">
        <v>75</v>
      </c>
      <c r="B64" s="11">
        <v>8598544071.76002</v>
      </c>
      <c r="C64" s="11">
        <v>693876784.789999</v>
      </c>
      <c r="D64" s="11">
        <v>891555232.389996</v>
      </c>
      <c r="E64" s="11">
        <v>605470527.220001</v>
      </c>
      <c r="F64" s="12">
        <v>0.872590841042832</v>
      </c>
      <c r="G64" s="12">
        <v>0.679117238308292</v>
      </c>
      <c r="H64" s="12">
        <v>0.0704154705921125</v>
      </c>
      <c r="I64" s="13">
        <v>48067279.53</v>
      </c>
      <c r="J64" s="14">
        <v>0.036553993874002</v>
      </c>
      <c r="K64" s="13">
        <v>8385814.94</v>
      </c>
      <c r="L64" s="14">
        <v>0.0129075888619077</v>
      </c>
      <c r="M64" s="3"/>
    </row>
    <row r="65" s="1" customFormat="1" spans="1:13">
      <c r="A65" s="10" t="s">
        <v>76</v>
      </c>
      <c r="B65" s="11">
        <v>868743453.06</v>
      </c>
      <c r="C65" s="11">
        <v>53096396.59</v>
      </c>
      <c r="D65" s="11">
        <v>43330691.65</v>
      </c>
      <c r="E65" s="11">
        <v>43137273.59</v>
      </c>
      <c r="F65" s="12">
        <v>0.812433166097835</v>
      </c>
      <c r="G65" s="12">
        <v>0.995536234187944</v>
      </c>
      <c r="H65" s="12">
        <v>0.049654789843948</v>
      </c>
      <c r="I65" s="13">
        <v>2682578.66</v>
      </c>
      <c r="J65" s="14">
        <v>0</v>
      </c>
      <c r="K65" s="13">
        <v>0</v>
      </c>
      <c r="L65" s="14">
        <v>0</v>
      </c>
      <c r="M65" s="3"/>
    </row>
    <row r="66" s="1" customFormat="1" spans="1:13">
      <c r="A66" s="15" t="s">
        <v>77</v>
      </c>
      <c r="B66" s="16">
        <v>10986471396.11</v>
      </c>
      <c r="C66" s="16">
        <v>844386491.189999</v>
      </c>
      <c r="D66" s="16">
        <v>1024339782.6</v>
      </c>
      <c r="E66" s="16">
        <v>737470115.680001</v>
      </c>
      <c r="F66" s="17">
        <v>0.873379812887201</v>
      </c>
      <c r="G66" s="17">
        <v>0.719946767866559</v>
      </c>
      <c r="H66" s="17">
        <v>0.0671252933804677</v>
      </c>
      <c r="I66" s="18">
        <v>50749858.19</v>
      </c>
      <c r="J66" s="19">
        <v>0.0267109116771724</v>
      </c>
      <c r="K66" s="18">
        <v>8385814.94</v>
      </c>
      <c r="L66" s="19">
        <v>0.00943189593027974</v>
      </c>
    </row>
    <row r="67" s="1" customFormat="1" spans="1:13">
      <c r="A67" s="20" t="s">
        <v>78</v>
      </c>
      <c r="B67" s="21">
        <v>10986471396.11</v>
      </c>
      <c r="C67" s="21">
        <v>844386491.189999</v>
      </c>
      <c r="D67" s="21">
        <v>1024339782.6</v>
      </c>
      <c r="E67" s="21">
        <v>737470115.680001</v>
      </c>
      <c r="F67" s="22">
        <v>0.873379812887201</v>
      </c>
      <c r="G67" s="22">
        <v>0.719946767866559</v>
      </c>
      <c r="H67" s="22">
        <v>0.0671252933804677</v>
      </c>
      <c r="I67" s="23">
        <v>50749858.19</v>
      </c>
      <c r="J67" s="24">
        <v>0.0267109116771724</v>
      </c>
      <c r="K67" s="23">
        <v>8385814.94</v>
      </c>
      <c r="L67" s="24">
        <v>0.00943189593027974</v>
      </c>
    </row>
    <row r="68" s="1" customFormat="1" spans="1:13">
      <c r="A68" s="10" t="s">
        <v>79</v>
      </c>
      <c r="B68" s="11">
        <v>3420763769.65</v>
      </c>
      <c r="C68" s="11">
        <v>268582935.879999</v>
      </c>
      <c r="D68" s="11">
        <v>466212271.790001</v>
      </c>
      <c r="E68" s="11">
        <v>217754366.38</v>
      </c>
      <c r="F68" s="12">
        <v>0.810752796586045</v>
      </c>
      <c r="G68" s="12">
        <v>0.467071288243747</v>
      </c>
      <c r="H68" s="12">
        <v>0.0636566512753611</v>
      </c>
      <c r="I68" s="13">
        <v>26190156.08</v>
      </c>
      <c r="J68" s="14">
        <v>0.0709227014593864</v>
      </c>
      <c r="K68" s="13">
        <v>7808895.59</v>
      </c>
      <c r="L68" s="14">
        <v>0.0305646175135733</v>
      </c>
      <c r="M68" s="3"/>
    </row>
    <row r="69" s="1" customFormat="1" spans="1:13">
      <c r="A69" s="10" t="s">
        <v>80</v>
      </c>
      <c r="B69" s="11">
        <v>5394637297.22999</v>
      </c>
      <c r="C69" s="11">
        <v>446344509.260003</v>
      </c>
      <c r="D69" s="11">
        <v>479460648.200001</v>
      </c>
      <c r="E69" s="11">
        <v>405842389.340001</v>
      </c>
      <c r="F69" s="12">
        <v>0.909258164758988</v>
      </c>
      <c r="G69" s="12">
        <v>0.846456097833307</v>
      </c>
      <c r="H69" s="12">
        <v>0.0752307091244838</v>
      </c>
      <c r="I69" s="13">
        <v>68066483.07</v>
      </c>
      <c r="J69" s="14">
        <v>0.0263788431961245</v>
      </c>
      <c r="K69" s="13">
        <v>4601538.34</v>
      </c>
      <c r="L69" s="14">
        <v>0.0116877115354148</v>
      </c>
      <c r="M69" s="3"/>
    </row>
    <row r="70" s="1" customFormat="1" spans="1:13">
      <c r="A70" s="10" t="s">
        <v>81</v>
      </c>
      <c r="B70" s="11">
        <v>4187138808.03</v>
      </c>
      <c r="C70" s="11">
        <v>340611752.880001</v>
      </c>
      <c r="D70" s="11">
        <v>406179403.070001</v>
      </c>
      <c r="E70" s="11">
        <v>298226969.11</v>
      </c>
      <c r="F70" s="12">
        <v>0.875562767838686</v>
      </c>
      <c r="G70" s="12">
        <v>0.734224746148941</v>
      </c>
      <c r="H70" s="12">
        <v>0.0712245241399849</v>
      </c>
      <c r="I70" s="13">
        <v>33256975.09</v>
      </c>
      <c r="J70" s="14">
        <v>0.0167240916955611</v>
      </c>
      <c r="K70" s="13">
        <v>2889630.22</v>
      </c>
      <c r="L70" s="14">
        <v>0.00896852666311248</v>
      </c>
      <c r="M70" s="3"/>
    </row>
    <row r="71" s="1" customFormat="1" spans="1:13">
      <c r="A71" s="10" t="s">
        <v>82</v>
      </c>
      <c r="B71" s="11">
        <v>5114992183.89</v>
      </c>
      <c r="C71" s="11">
        <v>333527335.14</v>
      </c>
      <c r="D71" s="11">
        <v>515642738.050001</v>
      </c>
      <c r="E71" s="11">
        <v>284327070.6</v>
      </c>
      <c r="F71" s="12">
        <v>0.852485060874102</v>
      </c>
      <c r="G71" s="12">
        <v>0.551403228668042</v>
      </c>
      <c r="H71" s="12">
        <v>0.0555870000144881</v>
      </c>
      <c r="I71" s="13">
        <v>36278456.83</v>
      </c>
      <c r="J71" s="14">
        <v>0.0555518536627412</v>
      </c>
      <c r="K71" s="13">
        <v>13407016.89</v>
      </c>
      <c r="L71" s="14">
        <v>0.0336848273790513</v>
      </c>
      <c r="M71" s="3"/>
    </row>
    <row r="72" s="1" customFormat="1" spans="1:13">
      <c r="A72" s="15" t="s">
        <v>83</v>
      </c>
      <c r="B72" s="16">
        <v>18117532058.8</v>
      </c>
      <c r="C72" s="16">
        <v>1389066533.16</v>
      </c>
      <c r="D72" s="16">
        <v>1867495061.11</v>
      </c>
      <c r="E72" s="16">
        <v>1206150795.43</v>
      </c>
      <c r="F72" s="17">
        <v>0.868317511534969</v>
      </c>
      <c r="G72" s="17">
        <v>0.645865587838871</v>
      </c>
      <c r="H72" s="17">
        <v>0.0665736807593589</v>
      </c>
      <c r="I72" s="18">
        <v>163792071.07</v>
      </c>
      <c r="J72" s="19">
        <v>0.0410530955363217</v>
      </c>
      <c r="K72" s="18">
        <v>28707081.04</v>
      </c>
      <c r="L72" s="19">
        <v>0.0209937717277582</v>
      </c>
    </row>
    <row r="73" s="1" customFormat="1" spans="1:13">
      <c r="A73" s="10" t="s">
        <v>84</v>
      </c>
      <c r="B73" s="11">
        <v>4910649807.46001</v>
      </c>
      <c r="C73" s="11">
        <v>390342042.209999</v>
      </c>
      <c r="D73" s="11">
        <v>388680564.33</v>
      </c>
      <c r="E73" s="11">
        <v>357630834.800001</v>
      </c>
      <c r="F73" s="12">
        <v>0.916198605651604</v>
      </c>
      <c r="G73" s="12">
        <v>0.920115044642063</v>
      </c>
      <c r="H73" s="12">
        <v>0.0728275989578214</v>
      </c>
      <c r="I73" s="13">
        <v>22628033.05</v>
      </c>
      <c r="J73" s="14">
        <v>0.0127071995745658</v>
      </c>
      <c r="K73" s="13">
        <v>4897983.56</v>
      </c>
      <c r="L73" s="14">
        <v>0.0119654608747314</v>
      </c>
      <c r="M73" s="3"/>
    </row>
    <row r="74" s="1" customFormat="1" spans="1:13">
      <c r="A74" s="10" t="s">
        <v>85</v>
      </c>
      <c r="B74" s="11">
        <v>8205935547.88002</v>
      </c>
      <c r="C74" s="11">
        <v>633556747.57</v>
      </c>
      <c r="D74" s="11">
        <v>725479531.609999</v>
      </c>
      <c r="E74" s="11">
        <v>570187453.389999</v>
      </c>
      <c r="F74" s="12">
        <v>0.899978503231078</v>
      </c>
      <c r="G74" s="12">
        <v>0.785945610518641</v>
      </c>
      <c r="H74" s="12">
        <v>0.0694847589361465</v>
      </c>
      <c r="I74" s="13">
        <v>18059413.98</v>
      </c>
      <c r="J74" s="14">
        <v>0.0185531650690387</v>
      </c>
      <c r="K74" s="13">
        <v>7911580.88</v>
      </c>
      <c r="L74" s="14">
        <v>0.0126092331251338</v>
      </c>
      <c r="M74" s="3"/>
    </row>
    <row r="75" s="1" customFormat="1" spans="1:13">
      <c r="A75" s="15" t="s">
        <v>86</v>
      </c>
      <c r="B75" s="16">
        <v>13116585355.34</v>
      </c>
      <c r="C75" s="16">
        <v>1023898789.78</v>
      </c>
      <c r="D75" s="16">
        <v>1114160095.94</v>
      </c>
      <c r="E75" s="16">
        <v>927818288.189999</v>
      </c>
      <c r="F75" s="17">
        <v>0.906162110406787</v>
      </c>
      <c r="G75" s="17">
        <v>0.832751317850074</v>
      </c>
      <c r="H75" s="17">
        <v>0.0707362673328897</v>
      </c>
      <c r="I75" s="18">
        <v>40687447.03</v>
      </c>
      <c r="J75" s="19">
        <v>0.0162690679997099</v>
      </c>
      <c r="K75" s="18">
        <v>12809564.44</v>
      </c>
      <c r="L75" s="19">
        <v>0.0123577026787346</v>
      </c>
    </row>
    <row r="76" s="1" customFormat="1" spans="1:13">
      <c r="A76" s="20" t="s">
        <v>87</v>
      </c>
      <c r="B76" s="21">
        <v>31234117414.14</v>
      </c>
      <c r="C76" s="21">
        <v>2412965322.94</v>
      </c>
      <c r="D76" s="21">
        <v>2981655157.05</v>
      </c>
      <c r="E76" s="21">
        <v>2133969083.62</v>
      </c>
      <c r="F76" s="22">
        <v>0.884376191954525</v>
      </c>
      <c r="G76" s="22">
        <v>0.715699492804966</v>
      </c>
      <c r="H76" s="22">
        <v>0.0683217347020002</v>
      </c>
      <c r="I76" s="23">
        <v>204479518.1</v>
      </c>
      <c r="J76" s="24">
        <v>0.0305179297210232</v>
      </c>
      <c r="K76" s="23">
        <v>41516645.48</v>
      </c>
      <c r="L76" s="24">
        <v>0.0173227614656275</v>
      </c>
    </row>
    <row r="77" s="1" customFormat="1" spans="1:13">
      <c r="A77" s="25" t="s">
        <v>88</v>
      </c>
      <c r="B77" s="26">
        <v>87712481024.68</v>
      </c>
      <c r="C77" s="26">
        <v>5563013824.12</v>
      </c>
      <c r="D77" s="26">
        <v>6961635936.8</v>
      </c>
      <c r="E77" s="26">
        <v>4946073368.8</v>
      </c>
      <c r="F77" s="27">
        <v>0.88909960053576</v>
      </c>
      <c r="G77" s="27">
        <v>0.710475729225439</v>
      </c>
      <c r="H77" s="27">
        <v>0.056389618797903</v>
      </c>
      <c r="I77" s="28">
        <v>508357158.42</v>
      </c>
      <c r="J77" s="29">
        <v>0.0316063283794322</v>
      </c>
      <c r="K77" s="28">
        <v>113195681.52</v>
      </c>
      <c r="L77" s="29">
        <v>0.0161574752966972</v>
      </c>
    </row>
    <row r="78" s="1" customFormat="1" spans="1:13">
      <c r="A78" s="10" t="s">
        <v>89</v>
      </c>
      <c r="B78" s="11">
        <v>6961967354.93001</v>
      </c>
      <c r="C78" s="11">
        <v>605814452.6</v>
      </c>
      <c r="D78" s="11">
        <v>618872016.459999</v>
      </c>
      <c r="E78" s="11">
        <v>454347391.89</v>
      </c>
      <c r="F78" s="12">
        <v>0.749977802510418</v>
      </c>
      <c r="G78" s="12">
        <v>0.734154041232799</v>
      </c>
      <c r="H78" s="12">
        <v>0.0652613505244693</v>
      </c>
      <c r="I78" s="13">
        <v>31966507.34</v>
      </c>
      <c r="J78" s="14">
        <v>0.0282675313914959</v>
      </c>
      <c r="K78" s="13">
        <v>1576492.43</v>
      </c>
      <c r="L78" s="14">
        <v>0.00329920680751204</v>
      </c>
      <c r="M78" s="3"/>
    </row>
    <row r="79" s="1" customFormat="1" spans="1:13">
      <c r="A79" s="10" t="s">
        <v>90</v>
      </c>
      <c r="B79" s="11">
        <v>4667432852.82</v>
      </c>
      <c r="C79" s="11">
        <v>396226793.239999</v>
      </c>
      <c r="D79" s="11">
        <v>451750745.379998</v>
      </c>
      <c r="E79" s="11">
        <v>300771427.12</v>
      </c>
      <c r="F79" s="12">
        <v>0.759089067805214</v>
      </c>
      <c r="G79" s="12">
        <v>0.665790660438204</v>
      </c>
      <c r="H79" s="12">
        <v>0.0644404400886619</v>
      </c>
      <c r="I79" s="13">
        <v>7001650.55</v>
      </c>
      <c r="J79" s="14">
        <v>0.0129990824034656</v>
      </c>
      <c r="K79" s="13">
        <v>2972613.47</v>
      </c>
      <c r="L79" s="14">
        <v>0.00677910469598175</v>
      </c>
      <c r="M79" s="3"/>
    </row>
    <row r="80" s="1" customFormat="1" spans="1:13">
      <c r="A80" s="10" t="s">
        <v>91</v>
      </c>
      <c r="B80" s="11">
        <v>9573882861.59999</v>
      </c>
      <c r="C80" s="11">
        <v>1321275923.43</v>
      </c>
      <c r="D80" s="11">
        <v>829788254.849999</v>
      </c>
      <c r="E80" s="11">
        <v>574474833.500001</v>
      </c>
      <c r="F80" s="12">
        <v>0.4347879374118</v>
      </c>
      <c r="G80" s="12">
        <v>0.692314973298638</v>
      </c>
      <c r="H80" s="12">
        <v>0.0600043725001242</v>
      </c>
      <c r="I80" s="13">
        <v>46267238.42</v>
      </c>
      <c r="J80" s="14">
        <v>0.0264609291098189</v>
      </c>
      <c r="K80" s="13">
        <v>15445159.02</v>
      </c>
      <c r="L80" s="14">
        <v>0.0219938603583499</v>
      </c>
      <c r="M80" s="3"/>
    </row>
    <row r="81" s="1" customFormat="1" spans="1:13">
      <c r="A81" s="10" t="s">
        <v>92</v>
      </c>
      <c r="B81" s="11">
        <v>9552273327.54</v>
      </c>
      <c r="C81" s="11">
        <v>1289016305.06</v>
      </c>
      <c r="D81" s="11">
        <v>759308459.210001</v>
      </c>
      <c r="E81" s="11">
        <v>595037979.060003</v>
      </c>
      <c r="F81" s="12">
        <v>0.461621762831235</v>
      </c>
      <c r="G81" s="12">
        <v>0.783657776813249</v>
      </c>
      <c r="H81" s="12">
        <v>0.0622928133080592</v>
      </c>
      <c r="I81" s="13">
        <v>24476666.3</v>
      </c>
      <c r="J81" s="14">
        <v>0.0159073926603602</v>
      </c>
      <c r="K81" s="13">
        <v>6261340.26</v>
      </c>
      <c r="L81" s="14">
        <v>0.00773994048036025</v>
      </c>
      <c r="M81" s="3"/>
    </row>
    <row r="82" s="1" customFormat="1" spans="1:13">
      <c r="A82" s="15" t="s">
        <v>93</v>
      </c>
      <c r="B82" s="16">
        <v>30755556396.89</v>
      </c>
      <c r="C82" s="16">
        <v>3612333474.33</v>
      </c>
      <c r="D82" s="16">
        <v>2659719475.9</v>
      </c>
      <c r="E82" s="16">
        <v>1924631631.57</v>
      </c>
      <c r="F82" s="17">
        <v>0.532794562087592</v>
      </c>
      <c r="G82" s="17">
        <v>0.723622039470439</v>
      </c>
      <c r="H82" s="17">
        <v>0.0625783389099935</v>
      </c>
      <c r="I82" s="18">
        <v>109712062.61</v>
      </c>
      <c r="J82" s="19">
        <v>0.0208409149658348</v>
      </c>
      <c r="K82" s="18">
        <v>26255605.18</v>
      </c>
      <c r="L82" s="19">
        <v>0.0107900019895452</v>
      </c>
    </row>
    <row r="83" s="1" customFormat="1" spans="1:13">
      <c r="A83" s="10" t="s">
        <v>94</v>
      </c>
      <c r="B83" s="11">
        <v>5953002293.29</v>
      </c>
      <c r="C83" s="11">
        <v>696365266.620002</v>
      </c>
      <c r="D83" s="11">
        <v>475990782.04</v>
      </c>
      <c r="E83" s="11">
        <v>314969609.57</v>
      </c>
      <c r="F83" s="12">
        <v>0.452305168950759</v>
      </c>
      <c r="G83" s="12">
        <v>0.661713674832324</v>
      </c>
      <c r="H83" s="12">
        <v>0.052909371448592</v>
      </c>
      <c r="I83" s="13">
        <v>39452736.2</v>
      </c>
      <c r="J83" s="14">
        <v>0.0331883664381519</v>
      </c>
      <c r="K83" s="13">
        <v>3100658.42</v>
      </c>
      <c r="L83" s="14">
        <v>0.00550422574758192</v>
      </c>
      <c r="M83" s="3"/>
    </row>
    <row r="84" s="1" customFormat="1" spans="1:13">
      <c r="A84" s="10" t="s">
        <v>95</v>
      </c>
      <c r="B84" s="11">
        <v>7113229877.46</v>
      </c>
      <c r="C84" s="11">
        <v>890493887.180002</v>
      </c>
      <c r="D84" s="11">
        <v>628732362.410002</v>
      </c>
      <c r="E84" s="11">
        <v>412298557.700001</v>
      </c>
      <c r="F84" s="12">
        <v>0.462999874154846</v>
      </c>
      <c r="G84" s="12">
        <v>0.655761628238149</v>
      </c>
      <c r="H84" s="12">
        <v>0.0579622147467031</v>
      </c>
      <c r="I84" s="13">
        <v>23105576.41</v>
      </c>
      <c r="J84" s="14">
        <v>0.0242129855836623</v>
      </c>
      <c r="K84" s="13">
        <v>11037052.79</v>
      </c>
      <c r="L84" s="14">
        <v>0.0199850184417698</v>
      </c>
      <c r="M84" s="3"/>
    </row>
    <row r="85" s="1" customFormat="1" spans="1:13">
      <c r="A85" s="15" t="s">
        <v>96</v>
      </c>
      <c r="B85" s="16">
        <v>13066232170.75</v>
      </c>
      <c r="C85" s="16">
        <v>1586859153.8</v>
      </c>
      <c r="D85" s="16">
        <v>1104723144.45</v>
      </c>
      <c r="E85" s="16">
        <v>727268167.270001</v>
      </c>
      <c r="F85" s="17">
        <v>0.458306690627479</v>
      </c>
      <c r="G85" s="17">
        <v>0.658326179662035</v>
      </c>
      <c r="H85" s="17">
        <v>0.0556601289312814</v>
      </c>
      <c r="I85" s="18">
        <v>62558312.61</v>
      </c>
      <c r="J85" s="19">
        <v>0.0287747694455786</v>
      </c>
      <c r="K85" s="18">
        <v>14137711.21</v>
      </c>
      <c r="L85" s="19">
        <v>0.0126250804635325</v>
      </c>
    </row>
    <row r="86" s="1" customFormat="1" spans="1:13">
      <c r="A86" s="10" t="s">
        <v>97</v>
      </c>
      <c r="B86" s="11">
        <v>7313448429.99</v>
      </c>
      <c r="C86" s="11">
        <v>499718191.760002</v>
      </c>
      <c r="D86" s="11">
        <v>721892553</v>
      </c>
      <c r="E86" s="11">
        <v>409958867.440002</v>
      </c>
      <c r="F86" s="12">
        <v>0.820380114632472</v>
      </c>
      <c r="G86" s="12">
        <v>0.567894578959594</v>
      </c>
      <c r="H86" s="12">
        <v>0.0560554807167161</v>
      </c>
      <c r="I86" s="13">
        <v>31729252.79</v>
      </c>
      <c r="J86" s="14">
        <v>0.0446088408467689</v>
      </c>
      <c r="K86" s="13">
        <v>13383023.01</v>
      </c>
      <c r="L86" s="14">
        <v>0.0212652900652958</v>
      </c>
      <c r="M86" s="3"/>
    </row>
    <row r="87" s="1" customFormat="1" spans="1:13">
      <c r="A87" s="10" t="s">
        <v>98</v>
      </c>
      <c r="B87" s="11">
        <v>4573620201.13</v>
      </c>
      <c r="C87" s="11">
        <v>280264483.93</v>
      </c>
      <c r="D87" s="11">
        <v>392943242.7</v>
      </c>
      <c r="E87" s="11">
        <v>247933746.4</v>
      </c>
      <c r="F87" s="12">
        <v>0.884642045696825</v>
      </c>
      <c r="G87" s="12">
        <v>0.630965797239297</v>
      </c>
      <c r="H87" s="12">
        <v>0.0542095179522653</v>
      </c>
      <c r="I87" s="13">
        <v>16199276.91</v>
      </c>
      <c r="J87" s="14">
        <v>0.0281456764819737</v>
      </c>
      <c r="K87" s="13">
        <v>3950324.11</v>
      </c>
      <c r="L87" s="14">
        <v>0.0083942346270474</v>
      </c>
      <c r="M87" s="3"/>
    </row>
    <row r="88" s="1" customFormat="1" spans="1:13">
      <c r="A88" s="10" t="s">
        <v>99</v>
      </c>
      <c r="B88" s="11">
        <v>0</v>
      </c>
      <c r="C88" s="11">
        <v>0</v>
      </c>
      <c r="D88" s="11">
        <v>0</v>
      </c>
      <c r="E88" s="11">
        <v>0</v>
      </c>
      <c r="F88" s="12">
        <v>0</v>
      </c>
      <c r="G88" s="12">
        <v>0</v>
      </c>
      <c r="H88" s="12">
        <v>0</v>
      </c>
      <c r="I88" s="13">
        <v>0</v>
      </c>
      <c r="J88" s="14">
        <v>0</v>
      </c>
      <c r="K88" s="13">
        <v>0</v>
      </c>
      <c r="L88" s="14">
        <v>0</v>
      </c>
      <c r="M88" s="3"/>
    </row>
    <row r="89" s="1" customFormat="1" spans="1:13">
      <c r="A89" s="15" t="s">
        <v>100</v>
      </c>
      <c r="B89" s="16">
        <v>11887068631.12</v>
      </c>
      <c r="C89" s="16">
        <v>779982675.690001</v>
      </c>
      <c r="D89" s="16">
        <v>1114835795.7</v>
      </c>
      <c r="E89" s="16">
        <v>657892613.840002</v>
      </c>
      <c r="F89" s="17">
        <v>0.843470803063678</v>
      </c>
      <c r="G89" s="17">
        <v>0.59012512549161</v>
      </c>
      <c r="H89" s="17">
        <v>0.055345235587995</v>
      </c>
      <c r="I89" s="18">
        <v>47928529.7</v>
      </c>
      <c r="J89" s="19">
        <v>0.037218098272049</v>
      </c>
      <c r="K89" s="18">
        <v>17333347.12</v>
      </c>
      <c r="L89" s="19">
        <v>0.0156214207510648</v>
      </c>
    </row>
    <row r="90" s="1" customFormat="1" spans="1:13">
      <c r="A90" s="20" t="s">
        <v>101</v>
      </c>
      <c r="B90" s="21">
        <v>55708857198.76</v>
      </c>
      <c r="C90" s="21">
        <v>5979175303.82001</v>
      </c>
      <c r="D90" s="21">
        <v>4879278416.05</v>
      </c>
      <c r="E90" s="21">
        <v>3309792412.68001</v>
      </c>
      <c r="F90" s="22">
        <v>0.553553332106759</v>
      </c>
      <c r="G90" s="22">
        <v>0.678336452741189</v>
      </c>
      <c r="H90" s="22">
        <v>0.0594123193170381</v>
      </c>
      <c r="I90" s="23">
        <v>220198904.92</v>
      </c>
      <c r="J90" s="24">
        <v>0.0266549563838301</v>
      </c>
      <c r="K90" s="23">
        <v>57726663.51</v>
      </c>
      <c r="L90" s="24">
        <v>0.0123837620550951</v>
      </c>
    </row>
    <row r="91" s="1" customFormat="1" spans="1:13">
      <c r="A91" s="10" t="s">
        <v>102</v>
      </c>
      <c r="B91" s="11">
        <v>4404866176.23</v>
      </c>
      <c r="C91" s="11">
        <v>435606955.250002</v>
      </c>
      <c r="D91" s="11">
        <v>513067253.650002</v>
      </c>
      <c r="E91" s="11">
        <v>398770790.360001</v>
      </c>
      <c r="F91" s="12">
        <v>0.915437151666093</v>
      </c>
      <c r="G91" s="12">
        <v>0.777229081612816</v>
      </c>
      <c r="H91" s="12">
        <v>0.0905296039439041</v>
      </c>
      <c r="I91" s="13">
        <v>27558091.37</v>
      </c>
      <c r="J91" s="14">
        <v>0.0286659299731358</v>
      </c>
      <c r="K91" s="13">
        <v>6143899.49</v>
      </c>
      <c r="L91" s="14">
        <v>0.0186073455052993</v>
      </c>
      <c r="M91" s="3"/>
    </row>
    <row r="92" s="1" customFormat="1" spans="1:13">
      <c r="A92" s="10" t="s">
        <v>103</v>
      </c>
      <c r="B92" s="11">
        <v>5770912236.62</v>
      </c>
      <c r="C92" s="11">
        <v>412350331.55</v>
      </c>
      <c r="D92" s="11">
        <v>590262250.739999</v>
      </c>
      <c r="E92" s="11">
        <v>364605359.26</v>
      </c>
      <c r="F92" s="12">
        <v>0.884212601186642</v>
      </c>
      <c r="G92" s="12">
        <v>0.617700621720095</v>
      </c>
      <c r="H92" s="12">
        <v>0.0631798482302943</v>
      </c>
      <c r="I92" s="13">
        <v>28877759.57</v>
      </c>
      <c r="J92" s="14">
        <v>0.0448835607015399</v>
      </c>
      <c r="K92" s="13">
        <v>12055081.4</v>
      </c>
      <c r="L92" s="14">
        <v>0.0283217519200668</v>
      </c>
      <c r="M92" s="3"/>
    </row>
    <row r="93" s="1" customFormat="1" spans="1:13">
      <c r="A93" s="10" t="s">
        <v>104</v>
      </c>
      <c r="B93" s="11">
        <v>3009832971.97</v>
      </c>
      <c r="C93" s="11">
        <v>251012585.39</v>
      </c>
      <c r="D93" s="11">
        <v>388362481.549999</v>
      </c>
      <c r="E93" s="11">
        <v>211776239.94</v>
      </c>
      <c r="F93" s="12">
        <v>0.843687736258171</v>
      </c>
      <c r="G93" s="12">
        <v>0.545305610095951</v>
      </c>
      <c r="H93" s="12">
        <v>0.0703614592278812</v>
      </c>
      <c r="I93" s="13">
        <v>28519391.6</v>
      </c>
      <c r="J93" s="14">
        <v>0.0953734658608759</v>
      </c>
      <c r="K93" s="13">
        <v>5602930.83</v>
      </c>
      <c r="L93" s="14">
        <v>0.0242290094696251</v>
      </c>
      <c r="M93" s="3"/>
    </row>
    <row r="94" s="1" customFormat="1" spans="1:13">
      <c r="A94" s="15" t="s">
        <v>105</v>
      </c>
      <c r="B94" s="16">
        <v>13185611384.82</v>
      </c>
      <c r="C94" s="16">
        <v>1098969872.19</v>
      </c>
      <c r="D94" s="16">
        <v>1491691985.94</v>
      </c>
      <c r="E94" s="16">
        <v>975152389.56</v>
      </c>
      <c r="F94" s="17">
        <v>0.887333141914745</v>
      </c>
      <c r="G94" s="17">
        <v>0.653722349353175</v>
      </c>
      <c r="H94" s="17">
        <v>0.0739557962919072</v>
      </c>
      <c r="I94" s="18">
        <v>84955242.54</v>
      </c>
      <c r="J94" s="19">
        <v>0.0510781905413809</v>
      </c>
      <c r="K94" s="18">
        <v>23801911.72</v>
      </c>
      <c r="L94" s="19">
        <v>0.0240728864516535</v>
      </c>
    </row>
    <row r="95" s="1" customFormat="1" spans="1:13">
      <c r="A95" s="10" t="s">
        <v>106</v>
      </c>
      <c r="B95" s="11">
        <v>3488810922.31999</v>
      </c>
      <c r="C95" s="11">
        <v>285307153.91</v>
      </c>
      <c r="D95" s="11">
        <v>567807547.849999</v>
      </c>
      <c r="E95" s="11">
        <v>224314862.440001</v>
      </c>
      <c r="F95" s="12">
        <v>0.786222354980837</v>
      </c>
      <c r="G95" s="12">
        <v>0.395054386454297</v>
      </c>
      <c r="H95" s="12">
        <v>0.0642955056706929</v>
      </c>
      <c r="I95" s="13">
        <v>35016736.98</v>
      </c>
      <c r="J95" s="14">
        <v>0.0826725627144626</v>
      </c>
      <c r="K95" s="13">
        <v>6393129.32</v>
      </c>
      <c r="L95" s="14">
        <v>0.025993300515777</v>
      </c>
      <c r="M95" s="3"/>
    </row>
    <row r="96" s="1" customFormat="1" spans="1:13">
      <c r="A96" s="10" t="s">
        <v>107</v>
      </c>
      <c r="B96" s="11">
        <v>3128896397.07</v>
      </c>
      <c r="C96" s="11">
        <v>247788655.49</v>
      </c>
      <c r="D96" s="11">
        <v>317347580.860001</v>
      </c>
      <c r="E96" s="11">
        <v>211576534.63</v>
      </c>
      <c r="F96" s="12">
        <v>0.85385884277716</v>
      </c>
      <c r="G96" s="12">
        <v>0.666702843792396</v>
      </c>
      <c r="H96" s="12">
        <v>0.06762017905998</v>
      </c>
      <c r="I96" s="13">
        <v>17460855.04</v>
      </c>
      <c r="J96" s="14">
        <v>0.0318396523136988</v>
      </c>
      <c r="K96" s="13">
        <v>2864811.78</v>
      </c>
      <c r="L96" s="14">
        <v>0.0132352649746149</v>
      </c>
      <c r="M96" s="3"/>
    </row>
    <row r="97" s="1" customFormat="1" spans="1:13">
      <c r="A97" s="10" t="s">
        <v>108</v>
      </c>
      <c r="B97" s="11">
        <v>5856341487.75999</v>
      </c>
      <c r="C97" s="11">
        <v>487344809.790006</v>
      </c>
      <c r="D97" s="11">
        <v>639201084.450002</v>
      </c>
      <c r="E97" s="11">
        <v>428822999.500004</v>
      </c>
      <c r="F97" s="12">
        <v>0.879917033865163</v>
      </c>
      <c r="G97" s="12">
        <v>0.670873391694857</v>
      </c>
      <c r="H97" s="12">
        <v>0.0732237012469752</v>
      </c>
      <c r="I97" s="13">
        <v>53933249.23</v>
      </c>
      <c r="J97" s="14">
        <v>0.0663705921433951</v>
      </c>
      <c r="K97" s="13">
        <v>13687375.89</v>
      </c>
      <c r="L97" s="14">
        <v>0.0337524639222275</v>
      </c>
      <c r="M97" s="3"/>
    </row>
    <row r="98" s="1" customFormat="1" spans="1:13">
      <c r="A98" s="15" t="s">
        <v>109</v>
      </c>
      <c r="B98" s="16">
        <v>12474048807.15</v>
      </c>
      <c r="C98" s="16">
        <v>1020440619.19001</v>
      </c>
      <c r="D98" s="16">
        <v>1524356213.16</v>
      </c>
      <c r="E98" s="16">
        <v>864714396.570004</v>
      </c>
      <c r="F98" s="17">
        <v>0.847393155768718</v>
      </c>
      <c r="G98" s="17">
        <v>0.567265307875411</v>
      </c>
      <c r="H98" s="17">
        <v>0.0693210688797658</v>
      </c>
      <c r="I98" s="18">
        <v>106410841.25</v>
      </c>
      <c r="J98" s="19">
        <v>0.0621489436957598</v>
      </c>
      <c r="K98" s="18">
        <v>22945316.99</v>
      </c>
      <c r="L98" s="19">
        <v>0.0263474740356606</v>
      </c>
    </row>
    <row r="99" s="1" customFormat="1" spans="1:13">
      <c r="A99" s="20" t="s">
        <v>110</v>
      </c>
      <c r="B99" s="21">
        <v>25659660191.97</v>
      </c>
      <c r="C99" s="21">
        <v>2119410491.38001</v>
      </c>
      <c r="D99" s="21">
        <v>3016048199.1</v>
      </c>
      <c r="E99" s="21">
        <v>1839866786.13</v>
      </c>
      <c r="F99" s="22">
        <v>0.86810308508571</v>
      </c>
      <c r="G99" s="22">
        <v>0.610025657640029</v>
      </c>
      <c r="H99" s="22">
        <v>0.0717026949057485</v>
      </c>
      <c r="I99" s="23">
        <v>191366083.79</v>
      </c>
      <c r="J99" s="24">
        <v>0.056247311115578</v>
      </c>
      <c r="K99" s="23">
        <v>46747228.71</v>
      </c>
      <c r="L99" s="24">
        <v>0.025134929594911</v>
      </c>
    </row>
    <row r="100" s="1" customFormat="1" spans="1:13">
      <c r="A100" s="10" t="s">
        <v>111</v>
      </c>
      <c r="B100" s="11">
        <v>1606429341.68</v>
      </c>
      <c r="C100" s="11">
        <v>96475042.6700002</v>
      </c>
      <c r="D100" s="11">
        <v>120243458.46</v>
      </c>
      <c r="E100" s="11">
        <v>85438361</v>
      </c>
      <c r="F100" s="12">
        <v>0.885600655210364</v>
      </c>
      <c r="G100" s="12">
        <v>0.710544773863284</v>
      </c>
      <c r="H100" s="12">
        <v>0.0531852592474741</v>
      </c>
      <c r="I100" s="13">
        <v>23053621.29</v>
      </c>
      <c r="J100" s="14">
        <v>0.0329371861587841</v>
      </c>
      <c r="K100" s="13">
        <v>1075323.61</v>
      </c>
      <c r="L100" s="14">
        <v>0.00436604072025026</v>
      </c>
      <c r="M100" s="3"/>
    </row>
    <row r="101" s="1" customFormat="1" spans="1:13">
      <c r="A101" s="10" t="s">
        <v>112</v>
      </c>
      <c r="B101" s="11">
        <v>8933571863.89998</v>
      </c>
      <c r="C101" s="11">
        <v>534458492.810004</v>
      </c>
      <c r="D101" s="11">
        <v>783290661.499999</v>
      </c>
      <c r="E101" s="11">
        <v>462243949.440002</v>
      </c>
      <c r="F101" s="12">
        <v>0.864882784460358</v>
      </c>
      <c r="G101" s="12">
        <v>0.590130806046898</v>
      </c>
      <c r="H101" s="12">
        <v>0.0517423441017922</v>
      </c>
      <c r="I101" s="13">
        <v>64603931.17</v>
      </c>
      <c r="J101" s="14">
        <v>0.0532177815463079</v>
      </c>
      <c r="K101" s="13">
        <v>15011093</v>
      </c>
      <c r="L101" s="14">
        <v>0.0177242962551785</v>
      </c>
      <c r="M101" s="3"/>
    </row>
    <row r="102" s="1" customFormat="1" spans="1:13">
      <c r="A102" s="10" t="s">
        <v>113</v>
      </c>
      <c r="B102" s="11">
        <v>6858372835.1</v>
      </c>
      <c r="C102" s="11">
        <v>486457079.370002</v>
      </c>
      <c r="D102" s="11">
        <v>637877523.560002</v>
      </c>
      <c r="E102" s="11">
        <v>406152042.960002</v>
      </c>
      <c r="F102" s="12">
        <v>0.83491855743162</v>
      </c>
      <c r="G102" s="12">
        <v>0.63672417973479</v>
      </c>
      <c r="H102" s="12">
        <v>0.0592198838886949</v>
      </c>
      <c r="I102" s="13">
        <v>17797883.41</v>
      </c>
      <c r="J102" s="14">
        <v>0.037914997932742</v>
      </c>
      <c r="K102" s="13">
        <v>7469675.6</v>
      </c>
      <c r="L102" s="14">
        <v>0.0178688138586316</v>
      </c>
      <c r="M102" s="3"/>
    </row>
    <row r="103" s="1" customFormat="1" spans="1:13">
      <c r="A103" s="10" t="s">
        <v>114</v>
      </c>
      <c r="B103" s="11">
        <v>0</v>
      </c>
      <c r="C103" s="11">
        <v>0</v>
      </c>
      <c r="D103" s="11">
        <v>0</v>
      </c>
      <c r="E103" s="11">
        <v>0</v>
      </c>
      <c r="F103" s="12">
        <v>0</v>
      </c>
      <c r="G103" s="12">
        <v>0</v>
      </c>
      <c r="H103" s="12">
        <v>0</v>
      </c>
      <c r="I103" s="13">
        <v>0</v>
      </c>
      <c r="J103" s="14" t="e">
        <v>#N/A</v>
      </c>
      <c r="K103" s="13">
        <v>0</v>
      </c>
      <c r="L103" s="14" t="e">
        <v>#N/A</v>
      </c>
      <c r="M103" s="3"/>
    </row>
    <row r="104" s="1" customFormat="1" spans="1:13">
      <c r="A104" s="15" t="s">
        <v>115</v>
      </c>
      <c r="B104" s="16">
        <v>17398374040.68</v>
      </c>
      <c r="C104" s="16">
        <v>1117390614.85001</v>
      </c>
      <c r="D104" s="16">
        <v>1541411643.52</v>
      </c>
      <c r="E104" s="16">
        <v>953834353.400004</v>
      </c>
      <c r="F104" s="17">
        <v>0.853626601766332</v>
      </c>
      <c r="G104" s="17">
        <v>0.618805727470572</v>
      </c>
      <c r="H104" s="17">
        <v>0.0548231892917003</v>
      </c>
      <c r="I104" s="18">
        <v>105455435.87</v>
      </c>
      <c r="J104" s="19">
        <v>0.045096002197887</v>
      </c>
      <c r="K104" s="18">
        <v>23556092.21</v>
      </c>
      <c r="L104" s="19">
        <v>0.0150655950308506</v>
      </c>
    </row>
    <row r="105" s="1" customFormat="1" spans="1:13">
      <c r="A105" s="10" t="s">
        <v>116</v>
      </c>
      <c r="B105" s="11">
        <v>4251512051.3</v>
      </c>
      <c r="C105" s="11">
        <v>279089998.87</v>
      </c>
      <c r="D105" s="11">
        <v>375038634.699999</v>
      </c>
      <c r="E105" s="11">
        <v>252932010.189999</v>
      </c>
      <c r="F105" s="12">
        <v>0.906274001985344</v>
      </c>
      <c r="G105" s="12">
        <v>0.674415878226319</v>
      </c>
      <c r="H105" s="12">
        <v>0.0594922482020625</v>
      </c>
      <c r="I105" s="13">
        <v>39771548.63</v>
      </c>
      <c r="J105" s="14">
        <v>0.0871689118551904</v>
      </c>
      <c r="K105" s="13">
        <v>7410610.69</v>
      </c>
      <c r="L105" s="14">
        <v>0.0306691900139695</v>
      </c>
      <c r="M105" s="3"/>
    </row>
    <row r="106" s="1" customFormat="1" spans="1:13">
      <c r="A106" s="10" t="s">
        <v>117</v>
      </c>
      <c r="B106" s="11">
        <v>5380880331.42</v>
      </c>
      <c r="C106" s="11">
        <v>293857148.079999</v>
      </c>
      <c r="D106" s="11">
        <v>435342021.33</v>
      </c>
      <c r="E106" s="11">
        <v>259425275.409999</v>
      </c>
      <c r="F106" s="12">
        <v>0.882827853959072</v>
      </c>
      <c r="G106" s="12">
        <v>0.595911404595028</v>
      </c>
      <c r="H106" s="12">
        <v>0.0482124223977189</v>
      </c>
      <c r="I106" s="13">
        <v>50133376.81</v>
      </c>
      <c r="J106" s="14">
        <v>0.0613095545955566</v>
      </c>
      <c r="K106" s="13">
        <v>9650680.19</v>
      </c>
      <c r="L106" s="14">
        <v>0.0243468547361969</v>
      </c>
      <c r="M106" s="3"/>
    </row>
    <row r="107" s="1" customFormat="1" spans="1:13">
      <c r="A107" s="10" t="s">
        <v>118</v>
      </c>
      <c r="B107" s="11">
        <v>5295738717.54</v>
      </c>
      <c r="C107" s="11">
        <v>242633072.089999</v>
      </c>
      <c r="D107" s="11">
        <v>315610096.63</v>
      </c>
      <c r="E107" s="11">
        <v>208165390.97</v>
      </c>
      <c r="F107" s="12">
        <v>0.857943186297314</v>
      </c>
      <c r="G107" s="12">
        <v>0.659565055721392</v>
      </c>
      <c r="H107" s="12">
        <v>0.039308093180756</v>
      </c>
      <c r="I107" s="13">
        <v>20240048.95</v>
      </c>
      <c r="J107" s="14">
        <v>0.0223405615929751</v>
      </c>
      <c r="K107" s="13">
        <v>7489674.77</v>
      </c>
      <c r="L107" s="14">
        <v>0.0151568982246392</v>
      </c>
      <c r="M107" s="3"/>
    </row>
    <row r="108" s="1" customFormat="1" spans="1:13">
      <c r="A108" s="10" t="s">
        <v>119</v>
      </c>
      <c r="B108" s="11">
        <v>920680279.179999</v>
      </c>
      <c r="C108" s="11">
        <v>62158282.9300001</v>
      </c>
      <c r="D108" s="11">
        <v>66072089.9900001</v>
      </c>
      <c r="E108" s="11">
        <v>54525435.12</v>
      </c>
      <c r="F108" s="12">
        <v>0.877203045994758</v>
      </c>
      <c r="G108" s="12">
        <v>0.825241567630938</v>
      </c>
      <c r="H108" s="12">
        <v>0.0592229858214873</v>
      </c>
      <c r="I108" s="13">
        <v>5265804.71</v>
      </c>
      <c r="J108" s="14">
        <v>0.017898134450079</v>
      </c>
      <c r="K108" s="13">
        <v>1646974.81</v>
      </c>
      <c r="L108" s="14">
        <v>0.0156340167940657</v>
      </c>
      <c r="M108" s="3"/>
    </row>
    <row r="109" s="1" customFormat="1" spans="1:13">
      <c r="A109" s="15" t="s">
        <v>120</v>
      </c>
      <c r="B109" s="16">
        <v>15848811379.44</v>
      </c>
      <c r="C109" s="16">
        <v>877738501.969998</v>
      </c>
      <c r="D109" s="16">
        <v>1192062842.65</v>
      </c>
      <c r="E109" s="16">
        <v>775048111.689998</v>
      </c>
      <c r="F109" s="17">
        <v>0.883005712920737</v>
      </c>
      <c r="G109" s="17">
        <v>0.650173870000878</v>
      </c>
      <c r="H109" s="17">
        <v>0.0489026017872505</v>
      </c>
      <c r="I109" s="18">
        <v>115410779.1</v>
      </c>
      <c r="J109" s="19">
        <v>0.047123254167593</v>
      </c>
      <c r="K109" s="18">
        <v>26197940.46</v>
      </c>
      <c r="L109" s="19">
        <v>0.0211739060029179</v>
      </c>
    </row>
    <row r="110" s="1" customFormat="1" spans="1:13">
      <c r="A110" s="10" t="s">
        <v>121</v>
      </c>
      <c r="B110" s="11">
        <v>1481216157.08</v>
      </c>
      <c r="C110" s="11">
        <v>141174290.5</v>
      </c>
      <c r="D110" s="11">
        <v>143497419.51</v>
      </c>
      <c r="E110" s="11">
        <v>128289701.76</v>
      </c>
      <c r="F110" s="12">
        <v>0.90873275371623</v>
      </c>
      <c r="G110" s="12">
        <v>0.894020967053416</v>
      </c>
      <c r="H110" s="12">
        <v>0.0866110602067049</v>
      </c>
      <c r="I110" s="13">
        <v>14703542.7</v>
      </c>
      <c r="J110" s="14">
        <v>0.00712432955816055</v>
      </c>
      <c r="K110" s="13">
        <v>491141.66</v>
      </c>
      <c r="L110" s="14">
        <v>0.00287469241408646</v>
      </c>
      <c r="M110" s="3"/>
    </row>
    <row r="111" s="1" customFormat="1" spans="1:13">
      <c r="A111" s="10" t="s">
        <v>122</v>
      </c>
      <c r="B111" s="11">
        <v>4959161941.30001</v>
      </c>
      <c r="C111" s="11">
        <v>411462677.830006</v>
      </c>
      <c r="D111" s="11">
        <v>427465907.850006</v>
      </c>
      <c r="E111" s="11">
        <v>363445644.760004</v>
      </c>
      <c r="F111" s="12">
        <v>0.883301607515808</v>
      </c>
      <c r="G111" s="12">
        <v>0.850233055047594</v>
      </c>
      <c r="H111" s="12">
        <v>0.073287714549755</v>
      </c>
      <c r="I111" s="13">
        <v>19817014.52</v>
      </c>
      <c r="J111" s="14">
        <v>0.0288818233976044</v>
      </c>
      <c r="K111" s="13">
        <v>4461252.54</v>
      </c>
      <c r="L111" s="14">
        <v>0.0125160535411533</v>
      </c>
      <c r="M111" s="3"/>
    </row>
    <row r="112" s="1" customFormat="1" spans="1:13">
      <c r="A112" s="15" t="s">
        <v>123</v>
      </c>
      <c r="B112" s="16">
        <v>6440378098.38001</v>
      </c>
      <c r="C112" s="16">
        <v>552636968.330006</v>
      </c>
      <c r="D112" s="16">
        <v>570963327.360006</v>
      </c>
      <c r="E112" s="16">
        <v>491735346.520003</v>
      </c>
      <c r="F112" s="17">
        <v>0.88979814000855</v>
      </c>
      <c r="G112" s="17">
        <v>0.861238056730661</v>
      </c>
      <c r="H112" s="17">
        <v>0.076351937573928</v>
      </c>
      <c r="I112" s="18">
        <v>34520557.22</v>
      </c>
      <c r="J112" s="19">
        <v>0.0211884743107354</v>
      </c>
      <c r="K112" s="18">
        <v>4952394.2</v>
      </c>
      <c r="L112" s="19">
        <v>0.00910691288504411</v>
      </c>
    </row>
    <row r="113" s="1" customFormat="1" spans="1:13">
      <c r="A113" s="20" t="s">
        <v>124</v>
      </c>
      <c r="B113" s="21">
        <v>39687563518.5</v>
      </c>
      <c r="C113" s="21">
        <v>2547766085.15001</v>
      </c>
      <c r="D113" s="21">
        <v>3304437813.53001</v>
      </c>
      <c r="E113" s="21">
        <v>2220617811.61</v>
      </c>
      <c r="F113" s="22">
        <v>0.87159407001811</v>
      </c>
      <c r="G113" s="22">
        <v>0.672010773668579</v>
      </c>
      <c r="H113" s="22">
        <v>0.0559524852306664</v>
      </c>
      <c r="I113" s="23">
        <v>255386772.19</v>
      </c>
      <c r="J113" s="24">
        <v>0.0419332495295789</v>
      </c>
      <c r="K113" s="23">
        <v>255386772.19</v>
      </c>
      <c r="L113" s="24">
        <v>0.016325693332371</v>
      </c>
    </row>
    <row r="114" s="1" customFormat="1" spans="1:13">
      <c r="A114" s="25" t="s">
        <v>125</v>
      </c>
      <c r="B114" s="26">
        <v>121056080909.23</v>
      </c>
      <c r="C114" s="26">
        <v>10646351880.35</v>
      </c>
      <c r="D114" s="26">
        <v>11199764428.68</v>
      </c>
      <c r="E114" s="26">
        <v>7370277010.42002</v>
      </c>
      <c r="F114" s="27">
        <v>0.692281928425017</v>
      </c>
      <c r="G114" s="27">
        <v>0.658074288736506</v>
      </c>
      <c r="H114" s="27">
        <v>0.0608831622093101</v>
      </c>
      <c r="I114" s="28">
        <v>666951760.9</v>
      </c>
      <c r="J114" s="29">
        <v>0.0374408668218966</v>
      </c>
      <c r="K114" s="28">
        <v>359860664.41</v>
      </c>
      <c r="L114" s="29">
        <v>0.0161337134460341</v>
      </c>
    </row>
    <row r="115" s="1" customFormat="1" spans="1:13">
      <c r="A115" s="10" t="s">
        <v>126</v>
      </c>
      <c r="B115" s="11">
        <v>2785873984.49</v>
      </c>
      <c r="C115" s="11">
        <v>186802802.380001</v>
      </c>
      <c r="D115" s="11">
        <v>305335465.380001</v>
      </c>
      <c r="E115" s="11">
        <v>168510132.18</v>
      </c>
      <c r="F115" s="12">
        <v>0.902074969074668</v>
      </c>
      <c r="G115" s="12">
        <v>0.551885225551128</v>
      </c>
      <c r="H115" s="12">
        <v>0.060487349075428</v>
      </c>
      <c r="I115" s="13">
        <v>27965723.26</v>
      </c>
      <c r="J115" s="14">
        <v>0.0822424879941602</v>
      </c>
      <c r="K115" s="13">
        <v>19090075</v>
      </c>
      <c r="L115" s="14">
        <v>0.0712820469325083</v>
      </c>
      <c r="M115" s="3"/>
    </row>
    <row r="116" s="1" customFormat="1" spans="1:13">
      <c r="A116" s="10" t="s">
        <v>127</v>
      </c>
      <c r="B116" s="11">
        <v>5107647091.88</v>
      </c>
      <c r="C116" s="11">
        <v>303534038.84</v>
      </c>
      <c r="D116" s="11">
        <v>338503194.84</v>
      </c>
      <c r="E116" s="11">
        <v>279261008.55</v>
      </c>
      <c r="F116" s="12">
        <v>0.920031933213279</v>
      </c>
      <c r="G116" s="12">
        <v>0.824987807521279</v>
      </c>
      <c r="H116" s="12">
        <v>0.0546750790582148</v>
      </c>
      <c r="I116" s="13">
        <v>17995263.41</v>
      </c>
      <c r="J116" s="14">
        <v>0.010084420157066</v>
      </c>
      <c r="K116" s="13">
        <v>2356571.42</v>
      </c>
      <c r="L116" s="14">
        <v>0.00520974215478568</v>
      </c>
      <c r="M116" s="3"/>
    </row>
    <row r="117" s="1" customFormat="1" spans="1:13">
      <c r="A117" s="10" t="s">
        <v>128</v>
      </c>
      <c r="B117" s="11">
        <v>6604592728.31</v>
      </c>
      <c r="C117" s="11">
        <v>438115416.73</v>
      </c>
      <c r="D117" s="11">
        <v>767927125.06</v>
      </c>
      <c r="E117" s="11">
        <v>366168465.480002</v>
      </c>
      <c r="F117" s="12">
        <v>0.835780827374223</v>
      </c>
      <c r="G117" s="12">
        <v>0.476827101857344</v>
      </c>
      <c r="H117" s="12">
        <v>0.0554414905722276</v>
      </c>
      <c r="I117" s="13">
        <v>43724634.47</v>
      </c>
      <c r="J117" s="14">
        <v>0.0776377829310847</v>
      </c>
      <c r="K117" s="13">
        <v>19253494.22</v>
      </c>
      <c r="L117" s="14">
        <v>0.0556341163838303</v>
      </c>
      <c r="M117" s="3"/>
    </row>
    <row r="118" s="1" customFormat="1" spans="1:13">
      <c r="A118" s="10" t="s">
        <v>129</v>
      </c>
      <c r="B118" s="11">
        <v>5747133664.32998</v>
      </c>
      <c r="C118" s="11">
        <v>381115550.810002</v>
      </c>
      <c r="D118" s="11">
        <v>447846488.410003</v>
      </c>
      <c r="E118" s="11">
        <v>340670406.480002</v>
      </c>
      <c r="F118" s="12">
        <v>0.893876950851151</v>
      </c>
      <c r="G118" s="12">
        <v>0.760685670863446</v>
      </c>
      <c r="H118" s="12">
        <v>0.0592765761816884</v>
      </c>
      <c r="I118" s="13">
        <v>30649870.47</v>
      </c>
      <c r="J118" s="14">
        <v>0.0539298213171385</v>
      </c>
      <c r="K118" s="13">
        <v>24410648.47</v>
      </c>
      <c r="L118" s="14">
        <v>0.051783160258433</v>
      </c>
      <c r="M118" s="3"/>
    </row>
    <row r="119" s="1" customFormat="1" spans="1:13">
      <c r="A119" s="15" t="s">
        <v>130</v>
      </c>
      <c r="B119" s="16">
        <v>20245247469.01</v>
      </c>
      <c r="C119" s="16">
        <v>1309567808.76</v>
      </c>
      <c r="D119" s="16">
        <v>1859612273.69</v>
      </c>
      <c r="E119" s="16">
        <v>1154610012.69</v>
      </c>
      <c r="F119" s="17">
        <v>0.881672567824705</v>
      </c>
      <c r="G119" s="17">
        <v>0.620887498445537</v>
      </c>
      <c r="H119" s="17">
        <v>0.0570311632128676</v>
      </c>
      <c r="I119" s="18">
        <v>120335491.61</v>
      </c>
      <c r="J119" s="19">
        <v>0.0513848877497073</v>
      </c>
      <c r="K119" s="18">
        <v>65110789.11</v>
      </c>
      <c r="L119" s="19">
        <v>0.0424231769313741</v>
      </c>
    </row>
    <row r="120" s="1" customFormat="1" spans="1:13">
      <c r="A120" s="10" t="s">
        <v>131</v>
      </c>
      <c r="B120" s="11">
        <v>8489811391.93</v>
      </c>
      <c r="C120" s="11">
        <v>657480842.550003</v>
      </c>
      <c r="D120" s="11">
        <v>802257383.61</v>
      </c>
      <c r="E120" s="11">
        <v>450497557.760001</v>
      </c>
      <c r="F120" s="12">
        <v>0.685187352399153</v>
      </c>
      <c r="G120" s="12">
        <v>0.561537440431961</v>
      </c>
      <c r="H120" s="12">
        <v>0.0530633175418034</v>
      </c>
      <c r="I120" s="13">
        <v>52064999.17</v>
      </c>
      <c r="J120" s="14">
        <v>0.0590333768360201</v>
      </c>
      <c r="K120" s="13">
        <v>33801153.7</v>
      </c>
      <c r="L120" s="14">
        <v>0.0489707301982346</v>
      </c>
      <c r="M120" s="3"/>
    </row>
    <row r="121" s="1" customFormat="1" spans="1:13">
      <c r="A121" s="10" t="s">
        <v>132</v>
      </c>
      <c r="B121" s="11">
        <v>5911754889.85</v>
      </c>
      <c r="C121" s="11">
        <v>390658893.500001</v>
      </c>
      <c r="D121" s="11">
        <v>506466419.53</v>
      </c>
      <c r="E121" s="11">
        <v>351224494.620001</v>
      </c>
      <c r="F121" s="12">
        <v>0.899056697451072</v>
      </c>
      <c r="G121" s="12">
        <v>0.693480319871822</v>
      </c>
      <c r="H121" s="12">
        <v>0.0594112071904443</v>
      </c>
      <c r="I121" s="13">
        <v>30407130.43</v>
      </c>
      <c r="J121" s="14">
        <v>0.0456682279679793</v>
      </c>
      <c r="K121" s="13">
        <v>10744511.77</v>
      </c>
      <c r="L121" s="14">
        <v>0.0224288268254414</v>
      </c>
      <c r="M121" s="3"/>
    </row>
    <row r="122" s="1" customFormat="1" spans="1:13">
      <c r="A122" s="10" t="s">
        <v>133</v>
      </c>
      <c r="B122" s="11">
        <v>4120520337.99</v>
      </c>
      <c r="C122" s="11">
        <v>285884141.77</v>
      </c>
      <c r="D122" s="11">
        <v>379541578.470001</v>
      </c>
      <c r="E122" s="11">
        <v>238732275.380001</v>
      </c>
      <c r="F122" s="12">
        <v>0.835066519961313</v>
      </c>
      <c r="G122" s="12">
        <v>0.629001640195449</v>
      </c>
      <c r="H122" s="12">
        <v>0.0579374097923891</v>
      </c>
      <c r="I122" s="13">
        <v>21696091.21</v>
      </c>
      <c r="J122" s="14">
        <v>0.0573494466358426</v>
      </c>
      <c r="K122" s="13">
        <v>9845732.43</v>
      </c>
      <c r="L122" s="14">
        <v>0.0297297786364914</v>
      </c>
      <c r="M122" s="3"/>
    </row>
    <row r="123" s="1" customFormat="1" spans="1:13">
      <c r="A123" s="15" t="s">
        <v>134</v>
      </c>
      <c r="B123" s="16">
        <v>18522086619.77</v>
      </c>
      <c r="C123" s="16">
        <v>1334023877.82</v>
      </c>
      <c r="D123" s="16">
        <v>1688265381.61</v>
      </c>
      <c r="E123" s="16">
        <v>1040454327.76</v>
      </c>
      <c r="F123" s="17">
        <v>0.779936810021918</v>
      </c>
      <c r="G123" s="17">
        <v>0.616286005205995</v>
      </c>
      <c r="H123" s="17">
        <v>0.0561737102907967</v>
      </c>
      <c r="I123" s="18">
        <v>104168220.81</v>
      </c>
      <c r="J123" s="19">
        <v>0.054324172407829</v>
      </c>
      <c r="K123" s="18">
        <v>54391397.9</v>
      </c>
      <c r="L123" s="19">
        <v>0.0361354820422805</v>
      </c>
    </row>
    <row r="124" s="1" customFormat="1" spans="1:13">
      <c r="A124" s="10" t="s">
        <v>135</v>
      </c>
      <c r="B124" s="11">
        <v>6787793931.11001</v>
      </c>
      <c r="C124" s="11">
        <v>580848061.860003</v>
      </c>
      <c r="D124" s="11">
        <v>872809532.57</v>
      </c>
      <c r="E124" s="11">
        <v>472007927.920002</v>
      </c>
      <c r="F124" s="12">
        <v>0.812618581197515</v>
      </c>
      <c r="G124" s="12">
        <v>0.540791444532197</v>
      </c>
      <c r="H124" s="12">
        <v>0.0695377515449727</v>
      </c>
      <c r="I124" s="13">
        <v>46896018.66</v>
      </c>
      <c r="J124" s="14">
        <v>0.0766143550312426</v>
      </c>
      <c r="K124" s="13">
        <v>27342525.16</v>
      </c>
      <c r="L124" s="14">
        <v>0.0485008156739091</v>
      </c>
      <c r="M124" s="3"/>
    </row>
    <row r="125" s="1" customFormat="1" spans="1:13">
      <c r="A125" s="10" t="s">
        <v>136</v>
      </c>
      <c r="B125" s="11">
        <v>5196584409.8</v>
      </c>
      <c r="C125" s="11">
        <v>397671744.220002</v>
      </c>
      <c r="D125" s="11">
        <v>475350647.580001</v>
      </c>
      <c r="E125" s="11">
        <v>352481080.680001</v>
      </c>
      <c r="F125" s="12">
        <v>0.886361894711332</v>
      </c>
      <c r="G125" s="12">
        <v>0.741518040365514</v>
      </c>
      <c r="H125" s="12">
        <v>0.0678293765449615</v>
      </c>
      <c r="I125" s="13">
        <v>16780364.75</v>
      </c>
      <c r="J125" s="14">
        <v>0.0306745571949651</v>
      </c>
      <c r="K125" s="13">
        <v>7873919.76</v>
      </c>
      <c r="L125" s="14">
        <v>0.0167723988877534</v>
      </c>
      <c r="M125" s="3"/>
    </row>
    <row r="126" s="1" customFormat="1" spans="1:13">
      <c r="A126" s="10" t="s">
        <v>137</v>
      </c>
      <c r="B126" s="11">
        <v>6727906668.35001</v>
      </c>
      <c r="C126" s="11">
        <v>404984908.53</v>
      </c>
      <c r="D126" s="11">
        <v>457412949.88</v>
      </c>
      <c r="E126" s="11">
        <v>363406530.04</v>
      </c>
      <c r="F126" s="12">
        <v>0.897333511411772</v>
      </c>
      <c r="G126" s="12">
        <v>0.79448238213487</v>
      </c>
      <c r="H126" s="12">
        <v>0.0540147995437524</v>
      </c>
      <c r="I126" s="13">
        <v>36269262.79</v>
      </c>
      <c r="J126" s="14">
        <v>0.0180331700958871</v>
      </c>
      <c r="K126" s="13">
        <v>4968723.98</v>
      </c>
      <c r="L126" s="14">
        <v>0.00853992935939724</v>
      </c>
      <c r="M126" s="3"/>
    </row>
    <row r="127" s="1" customFormat="1" spans="1:13">
      <c r="A127" s="15" t="s">
        <v>138</v>
      </c>
      <c r="B127" s="16">
        <v>18712285009.26</v>
      </c>
      <c r="C127" s="16">
        <v>1383504714.61</v>
      </c>
      <c r="D127" s="16">
        <v>1805573130.03</v>
      </c>
      <c r="E127" s="16">
        <v>1187895538.64</v>
      </c>
      <c r="F127" s="17">
        <v>0.858613292817624</v>
      </c>
      <c r="G127" s="17">
        <v>0.657904971492495</v>
      </c>
      <c r="H127" s="17">
        <v>0.0634821208661667</v>
      </c>
      <c r="I127" s="18">
        <v>99945646.2</v>
      </c>
      <c r="J127" s="19">
        <v>0.0421557809258787</v>
      </c>
      <c r="K127" s="18">
        <v>40185168.9</v>
      </c>
      <c r="L127" s="19">
        <v>0.0248816544436918</v>
      </c>
    </row>
    <row r="128" s="1" customFormat="1" spans="1:13">
      <c r="A128" s="10" t="s">
        <v>139</v>
      </c>
      <c r="B128" s="11">
        <v>965806360.32</v>
      </c>
      <c r="C128" s="11">
        <v>58047488.03</v>
      </c>
      <c r="D128" s="11">
        <v>50516838.77</v>
      </c>
      <c r="E128" s="11">
        <v>49141434.84</v>
      </c>
      <c r="F128" s="12">
        <v>0.846572978568906</v>
      </c>
      <c r="G128" s="12">
        <v>0.972773357092629</v>
      </c>
      <c r="H128" s="12">
        <v>0.0508812499678693</v>
      </c>
      <c r="I128" s="13">
        <v>4994113.52</v>
      </c>
      <c r="J128" s="14">
        <v>0.0266936583261077</v>
      </c>
      <c r="K128" s="13">
        <v>0</v>
      </c>
      <c r="L128" s="14">
        <v>0</v>
      </c>
      <c r="M128" s="3"/>
    </row>
    <row r="129" s="1" customFormat="1" spans="1:13">
      <c r="A129" s="10" t="s">
        <v>140</v>
      </c>
      <c r="B129" s="11">
        <v>4005613780.08</v>
      </c>
      <c r="C129" s="11">
        <v>306885789.849999</v>
      </c>
      <c r="D129" s="11">
        <v>369595931.45</v>
      </c>
      <c r="E129" s="11">
        <v>275220148.289998</v>
      </c>
      <c r="F129" s="12">
        <v>0.896816201312292</v>
      </c>
      <c r="G129" s="12">
        <v>0.744651455469908</v>
      </c>
      <c r="H129" s="12">
        <v>0.0687086083183241</v>
      </c>
      <c r="I129" s="13">
        <v>28071072.85</v>
      </c>
      <c r="J129" s="14">
        <v>0.0214115777611484</v>
      </c>
      <c r="K129" s="13">
        <v>2270109.65</v>
      </c>
      <c r="L129" s="14">
        <v>0.00754306683708015</v>
      </c>
      <c r="M129" s="3"/>
    </row>
    <row r="130" s="1" customFormat="1" spans="1:13">
      <c r="A130" s="10" t="s">
        <v>141</v>
      </c>
      <c r="B130" s="11">
        <v>3232339019.73</v>
      </c>
      <c r="C130" s="11">
        <v>235434342.130001</v>
      </c>
      <c r="D130" s="11">
        <v>295446814.430001</v>
      </c>
      <c r="E130" s="11">
        <v>209530319.11</v>
      </c>
      <c r="F130" s="12">
        <v>0.889973472919695</v>
      </c>
      <c r="G130" s="12">
        <v>0.709198098866771</v>
      </c>
      <c r="H130" s="12">
        <v>0.0648231258636672</v>
      </c>
      <c r="I130" s="13">
        <v>23023398.65</v>
      </c>
      <c r="J130" s="14">
        <v>0.0561747342869724</v>
      </c>
      <c r="K130" s="13">
        <v>11369823.03</v>
      </c>
      <c r="L130" s="14">
        <v>0.0442412544462312</v>
      </c>
      <c r="M130" s="3"/>
    </row>
    <row r="131" s="1" customFormat="1" spans="1:13">
      <c r="A131" s="15" t="s">
        <v>142</v>
      </c>
      <c r="B131" s="16">
        <v>8203759160.13</v>
      </c>
      <c r="C131" s="16">
        <v>600367620.009999</v>
      </c>
      <c r="D131" s="16">
        <v>715559584.65</v>
      </c>
      <c r="E131" s="16">
        <v>533891902.239998</v>
      </c>
      <c r="F131" s="17">
        <v>0.889274978272656</v>
      </c>
      <c r="G131" s="17">
        <v>0.746118022444126</v>
      </c>
      <c r="H131" s="17">
        <v>0.0650789341591957</v>
      </c>
      <c r="I131" s="18">
        <v>56088585.02</v>
      </c>
      <c r="J131" s="19">
        <v>0.0350721167351435</v>
      </c>
      <c r="K131" s="18">
        <v>13639932.68</v>
      </c>
      <c r="L131" s="19">
        <v>0.0190946759594781</v>
      </c>
    </row>
    <row r="132" s="1" customFormat="1" spans="1:13">
      <c r="A132" s="20" t="s">
        <v>143</v>
      </c>
      <c r="B132" s="21">
        <v>65683378258.17</v>
      </c>
      <c r="C132" s="21">
        <v>4627464021.20001</v>
      </c>
      <c r="D132" s="21">
        <v>6069010369.98001</v>
      </c>
      <c r="E132" s="21">
        <v>3916851781.33001</v>
      </c>
      <c r="F132" s="22">
        <v>0.846435923301739</v>
      </c>
      <c r="G132" s="22">
        <v>0.645385580605444</v>
      </c>
      <c r="H132" s="22">
        <v>0.0596323131543986</v>
      </c>
      <c r="I132" s="23">
        <v>380537943.64</v>
      </c>
      <c r="J132" s="24">
        <v>0.0472723677098855</v>
      </c>
      <c r="K132" s="23">
        <v>173327288.59</v>
      </c>
      <c r="L132" s="24">
        <v>0.0322892481290366</v>
      </c>
    </row>
    <row r="133" s="1" customFormat="1" spans="1:13">
      <c r="A133" s="10" t="s">
        <v>144</v>
      </c>
      <c r="B133" s="11">
        <v>5317040585.75003</v>
      </c>
      <c r="C133" s="11">
        <v>426796938.699994</v>
      </c>
      <c r="D133" s="11">
        <v>485966758.199995</v>
      </c>
      <c r="E133" s="11">
        <v>372515877.729996</v>
      </c>
      <c r="F133" s="12">
        <v>0.872817595329208</v>
      </c>
      <c r="G133" s="12">
        <v>0.766546006376614</v>
      </c>
      <c r="H133" s="12">
        <v>0.0700607549862154</v>
      </c>
      <c r="I133" s="13">
        <v>19677833.65</v>
      </c>
      <c r="J133" s="14">
        <v>0.0312371742643219</v>
      </c>
      <c r="K133" s="13">
        <v>9195890.27</v>
      </c>
      <c r="L133" s="14">
        <v>0.0235890397163408</v>
      </c>
      <c r="M133" s="3"/>
    </row>
    <row r="134" s="1" customFormat="1" spans="1:13">
      <c r="A134" s="10" t="s">
        <v>145</v>
      </c>
      <c r="B134" s="11">
        <v>5922709411.41999</v>
      </c>
      <c r="C134" s="11">
        <v>443384955.110002</v>
      </c>
      <c r="D134" s="11">
        <v>525037410.419999</v>
      </c>
      <c r="E134" s="11">
        <v>392675015.930001</v>
      </c>
      <c r="F134" s="12">
        <v>0.885629995795819</v>
      </c>
      <c r="G134" s="12">
        <v>0.747899117542659</v>
      </c>
      <c r="H134" s="12">
        <v>0.0662998956479034</v>
      </c>
      <c r="I134" s="13">
        <v>18607451.88</v>
      </c>
      <c r="J134" s="14">
        <v>0.0234487207912412</v>
      </c>
      <c r="K134" s="13">
        <v>8002381.54</v>
      </c>
      <c r="L134" s="14">
        <v>0.0180247700546644</v>
      </c>
      <c r="M134" s="3"/>
    </row>
    <row r="135" s="1" customFormat="1" spans="1:13">
      <c r="A135" s="10" t="s">
        <v>146</v>
      </c>
      <c r="B135" s="11">
        <v>4063360455.35001</v>
      </c>
      <c r="C135" s="11">
        <v>300552178.939999</v>
      </c>
      <c r="D135" s="11">
        <v>412926435.94</v>
      </c>
      <c r="E135" s="11">
        <v>259772570.379999</v>
      </c>
      <c r="F135" s="12">
        <v>0.864317707814252</v>
      </c>
      <c r="G135" s="12">
        <v>0.629101330818512</v>
      </c>
      <c r="H135" s="12">
        <v>0.0639304765684695</v>
      </c>
      <c r="I135" s="13">
        <v>34454637.23</v>
      </c>
      <c r="J135" s="14">
        <v>0.0608473979331575</v>
      </c>
      <c r="K135" s="13">
        <v>6861674.31</v>
      </c>
      <c r="L135" s="14">
        <v>0.0234430427285127</v>
      </c>
      <c r="M135" s="3"/>
    </row>
    <row r="136" s="1" customFormat="1" spans="1:13">
      <c r="A136" s="10" t="s">
        <v>147</v>
      </c>
      <c r="B136" s="11">
        <v>4772095760.83</v>
      </c>
      <c r="C136" s="11">
        <v>360832828.829998</v>
      </c>
      <c r="D136" s="11">
        <v>425509972.749999</v>
      </c>
      <c r="E136" s="11">
        <v>317493823.939999</v>
      </c>
      <c r="F136" s="12">
        <v>0.87989173537639</v>
      </c>
      <c r="G136" s="12">
        <v>0.74614896071199</v>
      </c>
      <c r="H136" s="12">
        <v>0.0665313187019487</v>
      </c>
      <c r="I136" s="13">
        <v>28959353.72</v>
      </c>
      <c r="J136" s="14">
        <v>0.0443726646561904</v>
      </c>
      <c r="K136" s="13">
        <v>12442753.94</v>
      </c>
      <c r="L136" s="14">
        <v>0.0328490774178213</v>
      </c>
      <c r="M136" s="3"/>
    </row>
    <row r="137" s="1" customFormat="1" spans="1:13">
      <c r="A137" s="15" t="s">
        <v>148</v>
      </c>
      <c r="B137" s="16">
        <v>20075206213.35</v>
      </c>
      <c r="C137" s="16">
        <v>1531566901.57999</v>
      </c>
      <c r="D137" s="16">
        <v>1849440577.30999</v>
      </c>
      <c r="E137" s="16">
        <v>1342457287.97999</v>
      </c>
      <c r="F137" s="17">
        <v>0.876525398005852</v>
      </c>
      <c r="G137" s="17">
        <v>0.725872085023999</v>
      </c>
      <c r="H137" s="17">
        <v>0.0668714071334052</v>
      </c>
      <c r="I137" s="18">
        <v>101699276.48</v>
      </c>
      <c r="J137" s="19">
        <v>0.0379976465535742</v>
      </c>
      <c r="K137" s="18">
        <v>36502700.06</v>
      </c>
      <c r="L137" s="19">
        <v>0.0243047207398308</v>
      </c>
    </row>
    <row r="138" s="1" customFormat="1" spans="1:13">
      <c r="A138" s="10" t="s">
        <v>149</v>
      </c>
      <c r="B138" s="11">
        <v>6965091754.28998</v>
      </c>
      <c r="C138" s="11">
        <v>471667905.630002</v>
      </c>
      <c r="D138" s="11">
        <v>476078727.790003</v>
      </c>
      <c r="E138" s="11">
        <v>418482465.540002</v>
      </c>
      <c r="F138" s="12">
        <v>0.887239645828857</v>
      </c>
      <c r="G138" s="12">
        <v>0.879019458572813</v>
      </c>
      <c r="H138" s="12">
        <v>0.0600828359916792</v>
      </c>
      <c r="I138" s="13">
        <v>19557803.3</v>
      </c>
      <c r="J138" s="14">
        <v>0.00983882557272299</v>
      </c>
      <c r="K138" s="13">
        <v>3062715.67</v>
      </c>
      <c r="L138" s="14">
        <v>0.00497663421281973</v>
      </c>
      <c r="M138" s="3"/>
    </row>
    <row r="139" s="1" customFormat="1" spans="1:13">
      <c r="A139" s="10" t="s">
        <v>150</v>
      </c>
      <c r="B139" s="11">
        <v>3646992486.7</v>
      </c>
      <c r="C139" s="11">
        <v>287574105.570002</v>
      </c>
      <c r="D139" s="11">
        <v>414479039.899999</v>
      </c>
      <c r="E139" s="11">
        <v>239209589.220001</v>
      </c>
      <c r="F139" s="12">
        <v>0.831818945401438</v>
      </c>
      <c r="G139" s="12">
        <v>0.577133138693128</v>
      </c>
      <c r="H139" s="12">
        <v>0.0655909191182489</v>
      </c>
      <c r="I139" s="13">
        <v>22262885.9</v>
      </c>
      <c r="J139" s="14">
        <v>0.0383473443968573</v>
      </c>
      <c r="K139" s="13">
        <v>7629603.45</v>
      </c>
      <c r="L139" s="14">
        <v>0.0260988677879467</v>
      </c>
      <c r="M139" s="3"/>
    </row>
    <row r="140" s="1" customFormat="1" spans="1:13">
      <c r="A140" s="10" t="s">
        <v>151</v>
      </c>
      <c r="B140" s="11">
        <v>5318853453.89001</v>
      </c>
      <c r="C140" s="11">
        <v>414532135.649998</v>
      </c>
      <c r="D140" s="11">
        <v>437675898.419998</v>
      </c>
      <c r="E140" s="11">
        <v>374619248.149997</v>
      </c>
      <c r="F140" s="12">
        <v>0.903715818226214</v>
      </c>
      <c r="G140" s="12">
        <v>0.85592843814879</v>
      </c>
      <c r="H140" s="12">
        <v>0.0704323312152951</v>
      </c>
      <c r="I140" s="13">
        <v>31075518.74</v>
      </c>
      <c r="J140" s="14">
        <v>0.00381088267382496</v>
      </c>
      <c r="K140" s="13">
        <v>1357116.26</v>
      </c>
      <c r="L140" s="14">
        <v>0.00271937597039762</v>
      </c>
      <c r="M140" s="3"/>
    </row>
    <row r="141" s="1" customFormat="1" spans="1:13">
      <c r="A141" s="15" t="s">
        <v>152</v>
      </c>
      <c r="B141" s="16">
        <v>15930937694.88</v>
      </c>
      <c r="C141" s="16">
        <v>1173774146.85</v>
      </c>
      <c r="D141" s="16">
        <v>1328233666.11</v>
      </c>
      <c r="E141" s="16">
        <v>1032311302.91</v>
      </c>
      <c r="F141" s="17">
        <v>0.879480354615376</v>
      </c>
      <c r="G141" s="17">
        <v>0.777206096524666</v>
      </c>
      <c r="H141" s="17">
        <v>0.0647991551207794</v>
      </c>
      <c r="I141" s="18">
        <v>72896207.94</v>
      </c>
      <c r="J141" s="19">
        <v>0.0136378173282154</v>
      </c>
      <c r="K141" s="18">
        <v>12049435.38</v>
      </c>
      <c r="L141" s="19">
        <v>0.00856731769532079</v>
      </c>
    </row>
    <row r="142" s="1" customFormat="1" spans="1:13">
      <c r="A142" s="10" t="s">
        <v>153</v>
      </c>
      <c r="B142" s="11">
        <v>5791153834.39998</v>
      </c>
      <c r="C142" s="11">
        <v>407900870.089999</v>
      </c>
      <c r="D142" s="11">
        <v>570995077.569999</v>
      </c>
      <c r="E142" s="11">
        <v>333506482.62</v>
      </c>
      <c r="F142" s="12">
        <v>0.817616502133019</v>
      </c>
      <c r="G142" s="12">
        <v>0.584079435569416</v>
      </c>
      <c r="H142" s="12">
        <v>0.0575889524189361</v>
      </c>
      <c r="I142" s="13">
        <v>42746482.14</v>
      </c>
      <c r="J142" s="14">
        <v>0.0464045634919623</v>
      </c>
      <c r="K142" s="13">
        <v>10714689.26</v>
      </c>
      <c r="L142" s="14">
        <v>0.0251254343639625</v>
      </c>
      <c r="M142" s="3"/>
    </row>
    <row r="143" s="1" customFormat="1" spans="1:13">
      <c r="A143" s="10" t="s">
        <v>154</v>
      </c>
      <c r="B143" s="11">
        <v>3212621438.31999</v>
      </c>
      <c r="C143" s="11">
        <v>228080671.69</v>
      </c>
      <c r="D143" s="11">
        <v>334807107.499999</v>
      </c>
      <c r="E143" s="11">
        <v>195493195.68</v>
      </c>
      <c r="F143" s="12">
        <v>0.857123026828454</v>
      </c>
      <c r="G143" s="12">
        <v>0.583897985737953</v>
      </c>
      <c r="H143" s="12">
        <v>0.060851612750935</v>
      </c>
      <c r="I143" s="13">
        <v>14691810.7</v>
      </c>
      <c r="J143" s="14">
        <v>0.0295251080035593</v>
      </c>
      <c r="K143" s="13">
        <v>4276041.25</v>
      </c>
      <c r="L143" s="14">
        <v>0.0154790223625754</v>
      </c>
      <c r="M143" s="3"/>
    </row>
    <row r="144" s="1" customFormat="1" spans="1:13">
      <c r="A144" s="10" t="s">
        <v>155</v>
      </c>
      <c r="B144" s="11">
        <v>4625618927.94999</v>
      </c>
      <c r="C144" s="11">
        <v>339196739.470001</v>
      </c>
      <c r="D144" s="11">
        <v>371448321.75</v>
      </c>
      <c r="E144" s="11">
        <v>299561249.839999</v>
      </c>
      <c r="F144" s="12">
        <v>0.883148966313967</v>
      </c>
      <c r="G144" s="12">
        <v>0.806468174169369</v>
      </c>
      <c r="H144" s="12">
        <v>0.0647613334574365</v>
      </c>
      <c r="I144" s="13">
        <v>20449756.12</v>
      </c>
      <c r="J144" s="14">
        <v>0.0313029040486812</v>
      </c>
      <c r="K144" s="13">
        <v>9520152.15</v>
      </c>
      <c r="L144" s="14">
        <v>0.0234946569985831</v>
      </c>
      <c r="M144" s="3"/>
    </row>
    <row r="145" s="1" customFormat="1" spans="1:13">
      <c r="A145" s="15" t="s">
        <v>156</v>
      </c>
      <c r="B145" s="16">
        <v>13629394200.67</v>
      </c>
      <c r="C145" s="16">
        <v>975178281.25</v>
      </c>
      <c r="D145" s="16">
        <v>1277250506.82</v>
      </c>
      <c r="E145" s="16">
        <v>828560928.139999</v>
      </c>
      <c r="F145" s="17">
        <v>0.849650719330967</v>
      </c>
      <c r="G145" s="17">
        <v>0.648706673996855</v>
      </c>
      <c r="H145" s="17">
        <v>0.0607922051369877</v>
      </c>
      <c r="I145" s="18">
        <v>77888048.96</v>
      </c>
      <c r="J145" s="19">
        <v>0.0367024812866763</v>
      </c>
      <c r="K145" s="18">
        <v>24510882.66</v>
      </c>
      <c r="L145" s="19">
        <v>0.0221399807176291</v>
      </c>
    </row>
    <row r="146" s="1" customFormat="1" spans="1:13">
      <c r="A146" s="20" t="s">
        <v>157</v>
      </c>
      <c r="B146" s="21">
        <v>49635538108.9</v>
      </c>
      <c r="C146" s="21">
        <v>3680519329.68</v>
      </c>
      <c r="D146" s="21">
        <v>4454924750.23999</v>
      </c>
      <c r="E146" s="21">
        <v>3203329519.02999</v>
      </c>
      <c r="F146" s="22">
        <v>0.870347152696114</v>
      </c>
      <c r="G146" s="22">
        <v>0.719053564004067</v>
      </c>
      <c r="H146" s="22">
        <v>0.0645370160388292</v>
      </c>
      <c r="I146" s="23">
        <v>252483533.38</v>
      </c>
      <c r="J146" s="24">
        <v>0.0291661223954137</v>
      </c>
      <c r="K146" s="23">
        <v>73063018.1</v>
      </c>
      <c r="L146" s="24">
        <v>0.0182339623697725</v>
      </c>
    </row>
    <row r="147" s="1" customFormat="1" spans="1:13">
      <c r="A147" s="10" t="s">
        <v>158</v>
      </c>
      <c r="B147" s="11">
        <v>3471060745.31</v>
      </c>
      <c r="C147" s="11">
        <v>278888455.079999</v>
      </c>
      <c r="D147" s="11">
        <v>291983872.869999</v>
      </c>
      <c r="E147" s="11">
        <v>253720004.769999</v>
      </c>
      <c r="F147" s="12">
        <v>0.909754420265334</v>
      </c>
      <c r="G147" s="12">
        <v>0.868952118060862</v>
      </c>
      <c r="H147" s="12">
        <v>0.0730958123140942</v>
      </c>
      <c r="I147" s="13">
        <v>7422434.21</v>
      </c>
      <c r="J147" s="14">
        <v>0.0217508020959401</v>
      </c>
      <c r="K147" s="13">
        <v>3233286</v>
      </c>
      <c r="L147" s="14">
        <v>0.014556423462814</v>
      </c>
      <c r="M147" s="3"/>
    </row>
    <row r="148" s="1" customFormat="1" spans="1:13">
      <c r="A148" s="10" t="s">
        <v>159</v>
      </c>
      <c r="B148" s="11">
        <v>5339875634.97</v>
      </c>
      <c r="C148" s="11">
        <v>394825449.990001</v>
      </c>
      <c r="D148" s="11">
        <v>546937512.050001</v>
      </c>
      <c r="E148" s="11">
        <v>340935608.340001</v>
      </c>
      <c r="F148" s="12">
        <v>0.863509706247747</v>
      </c>
      <c r="G148" s="12">
        <v>0.623353858217047</v>
      </c>
      <c r="H148" s="12">
        <v>0.063847106495752</v>
      </c>
      <c r="I148" s="13">
        <v>30984961.27</v>
      </c>
      <c r="J148" s="14">
        <v>0.0303283370823774</v>
      </c>
      <c r="K148" s="13">
        <v>9047903</v>
      </c>
      <c r="L148" s="14">
        <v>0.0208367574994616</v>
      </c>
      <c r="M148" s="3"/>
    </row>
    <row r="149" s="1" customFormat="1" spans="1:13">
      <c r="A149" s="10" t="s">
        <v>160</v>
      </c>
      <c r="B149" s="11">
        <v>7000656452.65001</v>
      </c>
      <c r="C149" s="11">
        <v>555910444.039996</v>
      </c>
      <c r="D149" s="11">
        <v>600486540.389998</v>
      </c>
      <c r="E149" s="11">
        <v>468058078.119997</v>
      </c>
      <c r="F149" s="12">
        <v>0.841966692905525</v>
      </c>
      <c r="G149" s="12">
        <v>0.779464728411744</v>
      </c>
      <c r="H149" s="12">
        <v>0.0668591697486912</v>
      </c>
      <c r="I149" s="13">
        <v>25827722.1</v>
      </c>
      <c r="J149" s="14">
        <v>0.0153311739607028</v>
      </c>
      <c r="K149" s="13">
        <v>5171191.68</v>
      </c>
      <c r="L149" s="14">
        <v>0.00857344065383856</v>
      </c>
      <c r="M149" s="3"/>
    </row>
    <row r="150" s="1" customFormat="1" spans="1:13">
      <c r="A150" s="10" t="s">
        <v>161</v>
      </c>
      <c r="B150" s="11">
        <v>5474357010.68998</v>
      </c>
      <c r="C150" s="11">
        <v>437029213.709994</v>
      </c>
      <c r="D150" s="11">
        <v>455552283.879994</v>
      </c>
      <c r="E150" s="11">
        <v>377069400.209995</v>
      </c>
      <c r="F150" s="12">
        <v>0.862801360597858</v>
      </c>
      <c r="G150" s="12">
        <v>0.827719261987776</v>
      </c>
      <c r="H150" s="12">
        <v>0.068879212567554</v>
      </c>
      <c r="I150" s="13">
        <v>24914435.42</v>
      </c>
      <c r="J150" s="14">
        <v>0.00997932047251072</v>
      </c>
      <c r="K150" s="13">
        <v>2812458.56</v>
      </c>
      <c r="L150" s="14">
        <v>0.00645924845356315</v>
      </c>
      <c r="M150" s="3"/>
    </row>
    <row r="151" s="1" customFormat="1" spans="1:13">
      <c r="A151" s="15" t="s">
        <v>162</v>
      </c>
      <c r="B151" s="16">
        <v>21285949843.62</v>
      </c>
      <c r="C151" s="16">
        <v>1666653562.81999</v>
      </c>
      <c r="D151" s="16">
        <v>1894960209.18999</v>
      </c>
      <c r="E151" s="16">
        <v>1439783091.43999</v>
      </c>
      <c r="F151" s="17">
        <v>0.863876646928272</v>
      </c>
      <c r="G151" s="17">
        <v>0.759795949517817</v>
      </c>
      <c r="H151" s="17">
        <v>0.0676400678389993</v>
      </c>
      <c r="I151" s="18">
        <v>89149553</v>
      </c>
      <c r="J151" s="19">
        <v>0.0186410115833215</v>
      </c>
      <c r="K151" s="18">
        <v>20264839.24</v>
      </c>
      <c r="L151" s="19">
        <v>0.011954857457672</v>
      </c>
    </row>
    <row r="152" s="1" customFormat="1" spans="1:13">
      <c r="A152" s="10" t="s">
        <v>163</v>
      </c>
      <c r="B152" s="11">
        <v>4722448421.86</v>
      </c>
      <c r="C152" s="11">
        <v>363211084.609999</v>
      </c>
      <c r="D152" s="11">
        <v>401315588.06</v>
      </c>
      <c r="E152" s="11">
        <v>330779390.769998</v>
      </c>
      <c r="F152" s="12">
        <v>0.91070841388328</v>
      </c>
      <c r="G152" s="12">
        <v>0.824237584114335</v>
      </c>
      <c r="H152" s="12">
        <v>0.0700440452115549</v>
      </c>
      <c r="I152" s="13">
        <v>15049459.93</v>
      </c>
      <c r="J152" s="14">
        <v>0.0137490056430001</v>
      </c>
      <c r="K152" s="13">
        <v>1879906.65</v>
      </c>
      <c r="L152" s="14">
        <v>0.0048299661688124</v>
      </c>
      <c r="M152" s="3"/>
    </row>
    <row r="153" s="1" customFormat="1" spans="1:13">
      <c r="A153" s="10" t="s">
        <v>164</v>
      </c>
      <c r="B153" s="11">
        <v>6516964583.17998</v>
      </c>
      <c r="C153" s="11">
        <v>456011907.839992</v>
      </c>
      <c r="D153" s="11">
        <v>516226923.989993</v>
      </c>
      <c r="E153" s="11">
        <v>412828777.769994</v>
      </c>
      <c r="F153" s="12">
        <v>0.90530262625258</v>
      </c>
      <c r="G153" s="12">
        <v>0.799704080870445</v>
      </c>
      <c r="H153" s="12">
        <v>0.06334678860086</v>
      </c>
      <c r="I153" s="13">
        <v>25432375.7</v>
      </c>
      <c r="J153" s="14">
        <v>0.0159689044160551</v>
      </c>
      <c r="K153" s="13">
        <v>1212773.75</v>
      </c>
      <c r="L153" s="14">
        <v>0.00253900000485119</v>
      </c>
      <c r="M153" s="3"/>
    </row>
    <row r="154" s="1" customFormat="1" spans="1:13">
      <c r="A154" s="10" t="s">
        <v>165</v>
      </c>
      <c r="B154" s="11">
        <v>5226096528.94998</v>
      </c>
      <c r="C154" s="11">
        <v>404681713.669998</v>
      </c>
      <c r="D154" s="11">
        <v>407244294.359999</v>
      </c>
      <c r="E154" s="11">
        <v>364496952.779998</v>
      </c>
      <c r="F154" s="12">
        <v>0.900700329338901</v>
      </c>
      <c r="G154" s="12">
        <v>0.895032681434666</v>
      </c>
      <c r="H154" s="12">
        <v>0.0697455454105882</v>
      </c>
      <c r="I154" s="13">
        <v>21693034.74</v>
      </c>
      <c r="J154" s="14">
        <v>0.0142863639594994</v>
      </c>
      <c r="K154" s="13">
        <v>1146255.33</v>
      </c>
      <c r="L154" s="14">
        <v>0.0022777956184211</v>
      </c>
      <c r="M154" s="3"/>
    </row>
    <row r="155" s="1" customFormat="1" spans="1:13">
      <c r="A155" s="10" t="s">
        <v>166</v>
      </c>
      <c r="B155" s="11">
        <v>3251004144.59999</v>
      </c>
      <c r="C155" s="11">
        <v>209782211.129999</v>
      </c>
      <c r="D155" s="11">
        <v>192118632.739999</v>
      </c>
      <c r="E155" s="11">
        <v>181089831.349999</v>
      </c>
      <c r="F155" s="12">
        <v>0.86322777500796</v>
      </c>
      <c r="G155" s="12">
        <v>0.942593796173192</v>
      </c>
      <c r="H155" s="12">
        <v>0.0557027377682044</v>
      </c>
      <c r="I155" s="13">
        <v>15780850.41</v>
      </c>
      <c r="J155" s="14">
        <v>0.0167878156098233</v>
      </c>
      <c r="K155" s="13">
        <v>6156371.87</v>
      </c>
      <c r="L155" s="14">
        <v>0.0141138080416991</v>
      </c>
      <c r="M155" s="3"/>
    </row>
    <row r="156" s="1" customFormat="1" spans="1:13">
      <c r="A156" s="15" t="s">
        <v>167</v>
      </c>
      <c r="B156" s="16">
        <v>19716513678.59</v>
      </c>
      <c r="C156" s="16">
        <v>1433686917.24999</v>
      </c>
      <c r="D156" s="16">
        <v>1516905439.14999</v>
      </c>
      <c r="E156" s="16">
        <v>1289194952.66999</v>
      </c>
      <c r="F156" s="17">
        <v>0.899216514539203</v>
      </c>
      <c r="G156" s="17">
        <v>0.849884850694714</v>
      </c>
      <c r="H156" s="17">
        <v>0.0653865573643437</v>
      </c>
      <c r="I156" s="18">
        <v>77955720.78</v>
      </c>
      <c r="J156" s="19">
        <v>0.0152137762306696</v>
      </c>
      <c r="K156" s="18">
        <v>10395307.6</v>
      </c>
      <c r="L156" s="19">
        <v>0.00573540341957409</v>
      </c>
    </row>
    <row r="157" s="1" customFormat="1" spans="1:13">
      <c r="A157" s="10" t="s">
        <v>168</v>
      </c>
      <c r="B157" s="11">
        <v>3201016811.98</v>
      </c>
      <c r="C157" s="11">
        <v>318277505.440001</v>
      </c>
      <c r="D157" s="11">
        <v>336039530.750001</v>
      </c>
      <c r="E157" s="11">
        <v>291455949.900001</v>
      </c>
      <c r="F157" s="12">
        <v>0.915729025515264</v>
      </c>
      <c r="G157" s="12">
        <v>0.867326380469303</v>
      </c>
      <c r="H157" s="12">
        <v>0.0910510525309362</v>
      </c>
      <c r="I157" s="13">
        <v>8199093.92</v>
      </c>
      <c r="J157" s="14">
        <v>0.00871923194764109</v>
      </c>
      <c r="K157" s="13">
        <v>1936124.77</v>
      </c>
      <c r="L157" s="14">
        <v>0.00579415746764536</v>
      </c>
      <c r="M157" s="3"/>
    </row>
    <row r="158" s="1" customFormat="1" spans="1:13">
      <c r="A158" s="10" t="s">
        <v>169</v>
      </c>
      <c r="B158" s="11">
        <v>2670193321.23</v>
      </c>
      <c r="C158" s="11">
        <v>130648780.63</v>
      </c>
      <c r="D158" s="11">
        <v>121380274.97</v>
      </c>
      <c r="E158" s="11">
        <v>110962823.48</v>
      </c>
      <c r="F158" s="12">
        <v>0.849321539358633</v>
      </c>
      <c r="G158" s="12">
        <v>0.914175087405472</v>
      </c>
      <c r="H158" s="12">
        <v>0.0415561010499742</v>
      </c>
      <c r="I158" s="13">
        <v>5433117.25</v>
      </c>
      <c r="J158" s="14">
        <v>0</v>
      </c>
      <c r="K158" s="13">
        <v>0</v>
      </c>
      <c r="L158" s="14">
        <v>0</v>
      </c>
      <c r="M158" s="3"/>
    </row>
    <row r="159" s="1" customFormat="1" spans="1:13">
      <c r="A159" s="10" t="s">
        <v>170</v>
      </c>
      <c r="B159" s="11">
        <v>2488681927.54</v>
      </c>
      <c r="C159" s="11">
        <v>182603376.4</v>
      </c>
      <c r="D159" s="11">
        <v>290541029.32</v>
      </c>
      <c r="E159" s="11">
        <v>161566566.71</v>
      </c>
      <c r="F159" s="12">
        <v>0.884795067294276</v>
      </c>
      <c r="G159" s="12">
        <v>0.556088642929847</v>
      </c>
      <c r="H159" s="12">
        <v>0.0649205368199481</v>
      </c>
      <c r="I159" s="13">
        <v>15064116.16</v>
      </c>
      <c r="J159" s="14">
        <v>0.0327438278488459</v>
      </c>
      <c r="K159" s="13">
        <v>3561382.3</v>
      </c>
      <c r="L159" s="14">
        <v>0.0182213604346787</v>
      </c>
      <c r="M159" s="3"/>
    </row>
    <row r="160" s="1" customFormat="1" spans="1:13">
      <c r="A160" s="15" t="s">
        <v>171</v>
      </c>
      <c r="B160" s="16">
        <v>8359892060.75</v>
      </c>
      <c r="C160" s="16">
        <v>631529662.470001</v>
      </c>
      <c r="D160" s="16">
        <v>747960835.040001</v>
      </c>
      <c r="E160" s="16">
        <v>563985340.090001</v>
      </c>
      <c r="F160" s="17">
        <v>0.89304647684192</v>
      </c>
      <c r="G160" s="17">
        <v>0.754030577095443</v>
      </c>
      <c r="H160" s="17">
        <v>0.0674632322991266</v>
      </c>
      <c r="I160" s="18">
        <v>28696327.33</v>
      </c>
      <c r="J160" s="19">
        <v>0.0118794119569257</v>
      </c>
      <c r="K160" s="18">
        <v>5497507.07</v>
      </c>
      <c r="L160" s="19">
        <v>0.00701204536115757</v>
      </c>
    </row>
    <row r="161" s="1" customFormat="1" spans="1:13">
      <c r="A161" s="20" t="s">
        <v>172</v>
      </c>
      <c r="B161" s="21">
        <v>49362355582.9599</v>
      </c>
      <c r="C161" s="21">
        <v>3731870142.53998</v>
      </c>
      <c r="D161" s="21">
        <v>4159826483.37998</v>
      </c>
      <c r="E161" s="21">
        <v>3292963384.19998</v>
      </c>
      <c r="F161" s="22">
        <v>0.882389595142432</v>
      </c>
      <c r="G161" s="22">
        <v>0.791610755245818</v>
      </c>
      <c r="H161" s="22">
        <v>0.0667100130314025</v>
      </c>
      <c r="I161" s="23">
        <v>195801601.11</v>
      </c>
      <c r="J161" s="24">
        <v>0.0159595604306881</v>
      </c>
      <c r="K161" s="23">
        <v>36157653.91</v>
      </c>
      <c r="L161" s="24">
        <v>0.00842462915149843</v>
      </c>
    </row>
    <row r="162" s="1" customFormat="1" spans="1:13">
      <c r="A162" s="25" t="s">
        <v>173</v>
      </c>
      <c r="B162" s="26">
        <v>164681271950.03</v>
      </c>
      <c r="C162" s="26">
        <v>12039853493.42</v>
      </c>
      <c r="D162" s="26">
        <v>14683761603.6</v>
      </c>
      <c r="E162" s="26">
        <v>10413144684.56</v>
      </c>
      <c r="F162" s="27">
        <v>0.864889650879138</v>
      </c>
      <c r="G162" s="27">
        <v>0.709160565641914</v>
      </c>
      <c r="H162" s="27">
        <v>0.0632321123176635</v>
      </c>
      <c r="I162" s="28">
        <v>828823078.13</v>
      </c>
      <c r="J162" s="29">
        <v>0.0321476712813963</v>
      </c>
      <c r="K162" s="28">
        <v>282547960.6</v>
      </c>
      <c r="L162" s="29">
        <v>0.0206867129469129</v>
      </c>
    </row>
    <row r="163" s="1" customFormat="1" spans="1:13">
      <c r="A163" s="10" t="s">
        <v>174</v>
      </c>
      <c r="B163" s="11">
        <v>5705672260.80001</v>
      </c>
      <c r="C163" s="11">
        <v>442878109.22</v>
      </c>
      <c r="D163" s="11">
        <v>515190311.159999</v>
      </c>
      <c r="E163" s="11">
        <v>392167288</v>
      </c>
      <c r="F163" s="12">
        <v>0.885497114975242</v>
      </c>
      <c r="G163" s="12">
        <v>0.761208585458447</v>
      </c>
      <c r="H163" s="12">
        <v>0.0687328802066547</v>
      </c>
      <c r="I163" s="13">
        <v>17907903.42</v>
      </c>
      <c r="J163" s="14">
        <v>0.0503122139589293</v>
      </c>
      <c r="K163" s="13">
        <v>14440780.79</v>
      </c>
      <c r="L163" s="14">
        <v>0.0493250745932616</v>
      </c>
      <c r="M163" s="3"/>
    </row>
    <row r="164" s="1" customFormat="1" spans="1:13">
      <c r="A164" s="10" t="s">
        <v>175</v>
      </c>
      <c r="B164" s="11">
        <v>7234070749.11002</v>
      </c>
      <c r="C164" s="11">
        <v>584340879.010005</v>
      </c>
      <c r="D164" s="11">
        <v>593783482.540004</v>
      </c>
      <c r="E164" s="11">
        <v>527025034.200003</v>
      </c>
      <c r="F164" s="12">
        <v>0.901913682802568</v>
      </c>
      <c r="G164" s="12">
        <v>0.88757105863836</v>
      </c>
      <c r="H164" s="12">
        <v>0.0728531766522799</v>
      </c>
      <c r="I164" s="13">
        <v>39165172.77</v>
      </c>
      <c r="J164" s="14">
        <v>0.0200265505100177</v>
      </c>
      <c r="K164" s="13">
        <v>1354104.02</v>
      </c>
      <c r="L164" s="14">
        <v>0.00231000120192273</v>
      </c>
      <c r="M164" s="3"/>
    </row>
    <row r="165" s="1" customFormat="1" spans="1:13">
      <c r="A165" s="15" t="s">
        <v>176</v>
      </c>
      <c r="B165" s="16">
        <v>12939743009.91</v>
      </c>
      <c r="C165" s="16">
        <v>1027218988.23</v>
      </c>
      <c r="D165" s="16">
        <v>1108973793.7</v>
      </c>
      <c r="E165" s="16">
        <v>919192322.200003</v>
      </c>
      <c r="F165" s="17">
        <v>0.894835797169071</v>
      </c>
      <c r="G165" s="17">
        <v>0.82886748760148</v>
      </c>
      <c r="H165" s="17">
        <v>0.071036366139268</v>
      </c>
      <c r="I165" s="18">
        <v>57073076.19</v>
      </c>
      <c r="J165" s="19">
        <v>0.0336549953988898</v>
      </c>
      <c r="K165" s="18">
        <v>15794884.81</v>
      </c>
      <c r="L165" s="19">
        <v>0.0234666233027063</v>
      </c>
    </row>
    <row r="166" s="1" customFormat="1" spans="1:13">
      <c r="A166" s="10" t="s">
        <v>177</v>
      </c>
      <c r="B166" s="11">
        <v>6785719016.71001</v>
      </c>
      <c r="C166" s="11">
        <v>493377522.829999</v>
      </c>
      <c r="D166" s="11">
        <v>592433491.56</v>
      </c>
      <c r="E166" s="11">
        <v>439949215.889999</v>
      </c>
      <c r="F166" s="12">
        <v>0.891709077800026</v>
      </c>
      <c r="G166" s="12">
        <v>0.742613680957709</v>
      </c>
      <c r="H166" s="12">
        <v>0.0648345760864269</v>
      </c>
      <c r="I166" s="13">
        <v>32444837.61</v>
      </c>
      <c r="J166" s="14">
        <v>0.0478352640173907</v>
      </c>
      <c r="K166" s="13">
        <v>10872867.55</v>
      </c>
      <c r="L166" s="14">
        <v>0.0226838421291551</v>
      </c>
      <c r="M166" s="3"/>
    </row>
    <row r="167" s="1" customFormat="1" spans="1:13">
      <c r="A167" s="10" t="s">
        <v>178</v>
      </c>
      <c r="B167" s="11">
        <v>3706255728.45001</v>
      </c>
      <c r="C167" s="11">
        <v>309310541.24</v>
      </c>
      <c r="D167" s="11">
        <v>295854938.99</v>
      </c>
      <c r="E167" s="11">
        <v>268387809.53</v>
      </c>
      <c r="F167" s="12">
        <v>0.867696938015936</v>
      </c>
      <c r="G167" s="12">
        <v>0.90716014559781</v>
      </c>
      <c r="H167" s="12">
        <v>0.0724148113876217</v>
      </c>
      <c r="I167" s="13">
        <v>25032156.45</v>
      </c>
      <c r="J167" s="14">
        <v>0.00887860290559899</v>
      </c>
      <c r="K167" s="13">
        <v>1854126.1</v>
      </c>
      <c r="L167" s="14">
        <v>0.00541483809228885</v>
      </c>
      <c r="M167" s="3"/>
    </row>
    <row r="168" s="1" customFormat="1" spans="1:13">
      <c r="A168" s="10" t="s">
        <v>179</v>
      </c>
      <c r="B168" s="11">
        <v>5184370462.01</v>
      </c>
      <c r="C168" s="11">
        <v>411904037.750003</v>
      </c>
      <c r="D168" s="11">
        <v>416607683.160004</v>
      </c>
      <c r="E168" s="11">
        <v>365010506.150003</v>
      </c>
      <c r="F168" s="12">
        <v>0.886154231805658</v>
      </c>
      <c r="G168" s="12">
        <v>0.87614924281129</v>
      </c>
      <c r="H168" s="12">
        <v>0.0704059458761145</v>
      </c>
      <c r="I168" s="13">
        <v>10983656.01</v>
      </c>
      <c r="J168" s="14">
        <v>0.0113615542754737</v>
      </c>
      <c r="K168" s="13">
        <v>1363929.01</v>
      </c>
      <c r="L168" s="14">
        <v>0.00322696597966119</v>
      </c>
      <c r="M168" s="3"/>
    </row>
    <row r="169" s="1" customFormat="1" spans="1:13">
      <c r="A169" s="15" t="s">
        <v>180</v>
      </c>
      <c r="B169" s="16">
        <v>15676345207.17</v>
      </c>
      <c r="C169" s="16">
        <v>1214592101.82</v>
      </c>
      <c r="D169" s="16">
        <v>1304896113.71</v>
      </c>
      <c r="E169" s="16">
        <v>1073347531.57</v>
      </c>
      <c r="F169" s="17">
        <v>0.883710284268807</v>
      </c>
      <c r="G169" s="17">
        <v>0.822554010463196</v>
      </c>
      <c r="H169" s="17">
        <v>0.0684692456937652</v>
      </c>
      <c r="I169" s="18">
        <v>68460650.07</v>
      </c>
      <c r="J169" s="19">
        <v>0.024774505952854</v>
      </c>
      <c r="K169" s="18">
        <v>14090922.66</v>
      </c>
      <c r="L169" s="19">
        <v>0.0113463809849721</v>
      </c>
    </row>
    <row r="170" s="1" customFormat="1" spans="1:13">
      <c r="A170" s="10" t="s">
        <v>181</v>
      </c>
      <c r="B170" s="11">
        <v>7774497616.42</v>
      </c>
      <c r="C170" s="11">
        <v>553286474.109998</v>
      </c>
      <c r="D170" s="11">
        <v>692808886.180001</v>
      </c>
      <c r="E170" s="11">
        <v>483884211.42</v>
      </c>
      <c r="F170" s="12">
        <v>0.874563601429736</v>
      </c>
      <c r="G170" s="12">
        <v>0.698438228885939</v>
      </c>
      <c r="H170" s="12">
        <v>0.0622399330855823</v>
      </c>
      <c r="I170" s="13">
        <v>46597389.12</v>
      </c>
      <c r="J170" s="14">
        <v>0.1080058420794</v>
      </c>
      <c r="K170" s="13">
        <v>22603046.49</v>
      </c>
      <c r="L170" s="14">
        <v>0.0894562071667917</v>
      </c>
      <c r="M170" s="3"/>
    </row>
    <row r="171" s="1" customFormat="1" spans="1:13">
      <c r="A171" s="10" t="s">
        <v>182</v>
      </c>
      <c r="B171" s="11">
        <v>911492395.509999</v>
      </c>
      <c r="C171" s="11">
        <v>68060453.21</v>
      </c>
      <c r="D171" s="11">
        <v>97891787.35</v>
      </c>
      <c r="E171" s="11">
        <v>62987239.05</v>
      </c>
      <c r="F171" s="12">
        <v>0.925460176641101</v>
      </c>
      <c r="G171" s="12">
        <v>0.643437419574299</v>
      </c>
      <c r="H171" s="12">
        <v>0.0691034169459607</v>
      </c>
      <c r="I171" s="13">
        <v>18193285.71</v>
      </c>
      <c r="J171" s="14">
        <v>0.00888477261753948</v>
      </c>
      <c r="K171" s="13">
        <v>1833427.49</v>
      </c>
      <c r="L171" s="14">
        <v>0.00378432017405828</v>
      </c>
      <c r="M171" s="3"/>
    </row>
    <row r="172" s="1" customFormat="1" spans="1:13">
      <c r="A172" s="15" t="s">
        <v>183</v>
      </c>
      <c r="B172" s="16">
        <v>8685990011.93</v>
      </c>
      <c r="C172" s="16">
        <v>621346927.319998</v>
      </c>
      <c r="D172" s="16">
        <v>790700673.530001</v>
      </c>
      <c r="E172" s="16">
        <v>546871450.47</v>
      </c>
      <c r="F172" s="17">
        <v>0.880138657527081</v>
      </c>
      <c r="G172" s="17">
        <v>0.691628916956083</v>
      </c>
      <c r="H172" s="17">
        <v>0.0629601749160297</v>
      </c>
      <c r="I172" s="18">
        <v>64790674.83</v>
      </c>
      <c r="J172" s="19">
        <v>0.0428219288551965</v>
      </c>
      <c r="K172" s="18">
        <v>24436473.98</v>
      </c>
      <c r="L172" s="19">
        <v>0.0331167338559548</v>
      </c>
    </row>
    <row r="173" s="1" customFormat="1" spans="1:13">
      <c r="A173" s="20" t="s">
        <v>184</v>
      </c>
      <c r="B173" s="21">
        <v>37302078229.01</v>
      </c>
      <c r="C173" s="21">
        <v>2863158017.37</v>
      </c>
      <c r="D173" s="21">
        <v>3204570580.94001</v>
      </c>
      <c r="E173" s="21">
        <v>2539411304.24</v>
      </c>
      <c r="F173" s="22">
        <v>0.886926704301364</v>
      </c>
      <c r="G173" s="22">
        <v>0.792434193630746</v>
      </c>
      <c r="H173" s="22">
        <v>0.0680769390018889</v>
      </c>
      <c r="I173" s="23">
        <v>190324401.09</v>
      </c>
      <c r="J173" s="24">
        <v>0.0322479438390345</v>
      </c>
      <c r="K173" s="23">
        <v>54322281.45</v>
      </c>
      <c r="L173" s="24">
        <v>0.020851930447824</v>
      </c>
    </row>
    <row r="174" s="1" customFormat="1" spans="1:13">
      <c r="A174" s="10" t="s">
        <v>185</v>
      </c>
      <c r="B174" s="11">
        <v>7297512246.56</v>
      </c>
      <c r="C174" s="11">
        <v>591284433.2</v>
      </c>
      <c r="D174" s="11">
        <v>716508891.480002</v>
      </c>
      <c r="E174" s="11">
        <v>522205451.839999</v>
      </c>
      <c r="F174" s="12">
        <v>0.883171317421382</v>
      </c>
      <c r="G174" s="12">
        <v>0.72881922059801</v>
      </c>
      <c r="H174" s="12">
        <v>0.0715593799909227</v>
      </c>
      <c r="I174" s="13">
        <v>15240398.46</v>
      </c>
      <c r="J174" s="14">
        <v>0.025121300212756</v>
      </c>
      <c r="K174" s="13">
        <v>8965617.93</v>
      </c>
      <c r="L174" s="14">
        <v>0.0238273394091429</v>
      </c>
      <c r="M174" s="3"/>
    </row>
    <row r="175" s="1" customFormat="1" spans="1:13">
      <c r="A175" s="10" t="s">
        <v>186</v>
      </c>
      <c r="B175" s="11">
        <v>224783210.87</v>
      </c>
      <c r="C175" s="11">
        <v>18407608.26</v>
      </c>
      <c r="D175" s="11">
        <v>18598195.89</v>
      </c>
      <c r="E175" s="11">
        <v>16083073.63</v>
      </c>
      <c r="F175" s="12">
        <v>0.873718812505846</v>
      </c>
      <c r="G175" s="12">
        <v>0.864765256002473</v>
      </c>
      <c r="H175" s="12">
        <v>0.0715492654800692</v>
      </c>
      <c r="I175" s="13">
        <v>11924148.18</v>
      </c>
      <c r="J175" s="14">
        <v>0.017719632898831</v>
      </c>
      <c r="K175" s="13">
        <v>499173.57</v>
      </c>
      <c r="L175" s="14">
        <v>0.00256685085083364</v>
      </c>
      <c r="M175" s="3"/>
    </row>
    <row r="176" s="1" customFormat="1" spans="1:13">
      <c r="A176" s="10" t="s">
        <v>187</v>
      </c>
      <c r="B176" s="11">
        <v>3602428134.15</v>
      </c>
      <c r="C176" s="11">
        <v>302382172.790001</v>
      </c>
      <c r="D176" s="11">
        <v>326237488.880001</v>
      </c>
      <c r="E176" s="11">
        <v>270512801.130001</v>
      </c>
      <c r="F176" s="12">
        <v>0.89460565295252</v>
      </c>
      <c r="G176" s="12">
        <v>0.829189809113271</v>
      </c>
      <c r="H176" s="12">
        <v>0.0750917967150035</v>
      </c>
      <c r="I176" s="13">
        <v>6438653.29</v>
      </c>
      <c r="J176" s="14">
        <v>0.0145141625075695</v>
      </c>
      <c r="K176" s="13">
        <v>719635.01</v>
      </c>
      <c r="L176" s="14">
        <v>0.00254701318673327</v>
      </c>
      <c r="M176" s="3"/>
    </row>
    <row r="177" s="1" customFormat="1" spans="1:13">
      <c r="A177" s="15" t="s">
        <v>188</v>
      </c>
      <c r="B177" s="16">
        <v>11124723591.58</v>
      </c>
      <c r="C177" s="16">
        <v>912074214.250002</v>
      </c>
      <c r="D177" s="16">
        <v>1061344576.25</v>
      </c>
      <c r="E177" s="16">
        <v>808801326.6</v>
      </c>
      <c r="F177" s="17">
        <v>0.886771398602774</v>
      </c>
      <c r="G177" s="17">
        <v>0.762053478859522</v>
      </c>
      <c r="H177" s="17">
        <v>0.072703049198648</v>
      </c>
      <c r="I177" s="18">
        <v>33603199.93</v>
      </c>
      <c r="J177" s="19">
        <v>0.0199324711925536</v>
      </c>
      <c r="K177" s="18">
        <v>10184426.51</v>
      </c>
      <c r="L177" s="19">
        <v>0.011959610936829</v>
      </c>
    </row>
    <row r="178" s="1" customFormat="1" spans="1:13">
      <c r="A178" s="10" t="s">
        <v>189</v>
      </c>
      <c r="B178" s="11">
        <v>4714236673.69003</v>
      </c>
      <c r="C178" s="11">
        <v>378711306.810002</v>
      </c>
      <c r="D178" s="11">
        <v>408799160.510001</v>
      </c>
      <c r="E178" s="11">
        <v>342827305.170001</v>
      </c>
      <c r="F178" s="12">
        <v>0.90524708136585</v>
      </c>
      <c r="G178" s="12">
        <v>0.83862037471482</v>
      </c>
      <c r="H178" s="12">
        <v>0.0727217000120734</v>
      </c>
      <c r="I178" s="13">
        <v>19843900.56</v>
      </c>
      <c r="J178" s="14">
        <v>0.0219088468042972</v>
      </c>
      <c r="K178" s="13">
        <v>4975713.46</v>
      </c>
      <c r="L178" s="14">
        <v>0.0137856811150382</v>
      </c>
      <c r="M178" s="3"/>
    </row>
    <row r="179" s="1" customFormat="1" spans="1:13">
      <c r="A179" s="10" t="s">
        <v>190</v>
      </c>
      <c r="B179" s="11">
        <v>5470954776.40001</v>
      </c>
      <c r="C179" s="11">
        <v>463583644.810001</v>
      </c>
      <c r="D179" s="11">
        <v>529205013.350002</v>
      </c>
      <c r="E179" s="11">
        <v>413270954.730002</v>
      </c>
      <c r="F179" s="12">
        <v>0.891470092521015</v>
      </c>
      <c r="G179" s="12">
        <v>0.780927890523734</v>
      </c>
      <c r="H179" s="12">
        <v>0.0755390917345403</v>
      </c>
      <c r="I179" s="13">
        <v>13831204.3</v>
      </c>
      <c r="J179" s="14">
        <v>0.0153218074000362</v>
      </c>
      <c r="K179" s="13">
        <v>3011561.21</v>
      </c>
      <c r="L179" s="14">
        <v>0.00663775641959754</v>
      </c>
      <c r="M179" s="3"/>
    </row>
    <row r="180" s="1" customFormat="1" spans="1:13">
      <c r="A180" s="15" t="s">
        <v>191</v>
      </c>
      <c r="B180" s="16">
        <v>10185191450.09</v>
      </c>
      <c r="C180" s="16">
        <v>842294951.620003</v>
      </c>
      <c r="D180" s="16">
        <v>938004173.860003</v>
      </c>
      <c r="E180" s="16">
        <v>756098259.900003</v>
      </c>
      <c r="F180" s="17">
        <v>0.897664480175007</v>
      </c>
      <c r="G180" s="17">
        <v>0.806071317133446</v>
      </c>
      <c r="H180" s="17">
        <v>0.0742350562191267</v>
      </c>
      <c r="I180" s="18">
        <v>33675104.86</v>
      </c>
      <c r="J180" s="19">
        <v>0.0182314757094441</v>
      </c>
      <c r="K180" s="18">
        <v>7987274.67</v>
      </c>
      <c r="L180" s="19">
        <v>0.00979518249342732</v>
      </c>
    </row>
    <row r="181" s="1" customFormat="1" spans="1:13">
      <c r="A181" s="10" t="s">
        <v>192</v>
      </c>
      <c r="B181" s="11">
        <v>6116880901.04001</v>
      </c>
      <c r="C181" s="11">
        <v>535362601.710003</v>
      </c>
      <c r="D181" s="11">
        <v>635442338.400002</v>
      </c>
      <c r="E181" s="11">
        <v>472037097.090001</v>
      </c>
      <c r="F181" s="12">
        <v>0.881714739845978</v>
      </c>
      <c r="G181" s="12">
        <v>0.742848042323646</v>
      </c>
      <c r="H181" s="12">
        <v>0.0771695746127319</v>
      </c>
      <c r="I181" s="13">
        <v>18651830.52</v>
      </c>
      <c r="J181" s="14">
        <v>0.0285228117715184</v>
      </c>
      <c r="K181" s="13">
        <v>3549043.22</v>
      </c>
      <c r="L181" s="14">
        <v>0.0169634089301531</v>
      </c>
      <c r="M181" s="3"/>
    </row>
    <row r="182" s="1" customFormat="1" spans="1:13">
      <c r="A182" s="10" t="s">
        <v>193</v>
      </c>
      <c r="B182" s="11">
        <v>327367198.26</v>
      </c>
      <c r="C182" s="11">
        <v>28588205.75</v>
      </c>
      <c r="D182" s="11">
        <v>29518815.59</v>
      </c>
      <c r="E182" s="11">
        <v>25804729.48</v>
      </c>
      <c r="F182" s="12">
        <v>0.902635503104283</v>
      </c>
      <c r="G182" s="12">
        <v>0.874179026638921</v>
      </c>
      <c r="H182" s="12">
        <v>0.0788250307824228</v>
      </c>
      <c r="I182" s="13">
        <v>38767179.61</v>
      </c>
      <c r="J182" s="14">
        <v>0.0240928991867348</v>
      </c>
      <c r="K182" s="13">
        <v>4422072.61</v>
      </c>
      <c r="L182" s="14">
        <v>0.0146783664853215</v>
      </c>
      <c r="M182" s="3"/>
    </row>
    <row r="183" s="1" customFormat="1" spans="1:13">
      <c r="A183" s="15" t="s">
        <v>194</v>
      </c>
      <c r="B183" s="16">
        <v>6444248099.30001</v>
      </c>
      <c r="C183" s="16">
        <v>563950807.460003</v>
      </c>
      <c r="D183" s="16">
        <v>664961153.990002</v>
      </c>
      <c r="E183" s="16">
        <v>497841826.570001</v>
      </c>
      <c r="F183" s="17">
        <v>0.882775270439363</v>
      </c>
      <c r="G183" s="17">
        <v>0.748678059737436</v>
      </c>
      <c r="H183" s="17">
        <v>0.077253671630687</v>
      </c>
      <c r="I183" s="18">
        <v>57419010.13</v>
      </c>
      <c r="J183" s="19">
        <v>0.02591123401153</v>
      </c>
      <c r="K183" s="18">
        <v>7971115.83</v>
      </c>
      <c r="L183" s="19">
        <v>0.0156163019804472</v>
      </c>
    </row>
    <row r="184" s="1" customFormat="1" spans="1:13">
      <c r="A184" s="20" t="s">
        <v>195</v>
      </c>
      <c r="B184" s="21">
        <v>27754163140.97</v>
      </c>
      <c r="C184" s="21">
        <v>2318319973.33001</v>
      </c>
      <c r="D184" s="21">
        <v>2664309904.10001</v>
      </c>
      <c r="E184" s="21">
        <v>2062741413.07</v>
      </c>
      <c r="F184" s="22">
        <v>0.889756995065313</v>
      </c>
      <c r="G184" s="22">
        <v>0.774212267835557</v>
      </c>
      <c r="H184" s="22">
        <v>0.074321873896642</v>
      </c>
      <c r="I184" s="23">
        <v>124697314.92</v>
      </c>
      <c r="J184" s="24">
        <v>0.0207019648915146</v>
      </c>
      <c r="K184" s="23">
        <v>26142817.01</v>
      </c>
      <c r="L184" s="24">
        <v>0.0120107058356137</v>
      </c>
    </row>
    <row r="185" s="1" customFormat="1" spans="1:13">
      <c r="A185" s="25" t="s">
        <v>196</v>
      </c>
      <c r="B185" s="26">
        <v>65056241369.9801</v>
      </c>
      <c r="C185" s="26">
        <v>5181477990.70001</v>
      </c>
      <c r="D185" s="26">
        <v>5868880485.04002</v>
      </c>
      <c r="E185" s="26">
        <v>4602152717.31001</v>
      </c>
      <c r="F185" s="27">
        <v>0.888193045607874</v>
      </c>
      <c r="G185" s="27">
        <v>0.784161941794702</v>
      </c>
      <c r="H185" s="27">
        <v>0.0707411405946002</v>
      </c>
      <c r="I185" s="28">
        <v>315021716.01</v>
      </c>
      <c r="J185" s="29">
        <v>0.0274312200545641</v>
      </c>
      <c r="K185" s="28">
        <v>80465098.46</v>
      </c>
      <c r="L185" s="29">
        <v>0.0171635695849605</v>
      </c>
    </row>
    <row r="186" s="1" customFormat="1" spans="1:13">
      <c r="A186" s="30" t="s">
        <v>208</v>
      </c>
      <c r="B186" s="31">
        <v>607768839077.87</v>
      </c>
      <c r="C186" s="31">
        <v>47855542137.02</v>
      </c>
      <c r="D186" s="31">
        <v>54183528719.31</v>
      </c>
      <c r="E186" s="31">
        <v>38118142542.62</v>
      </c>
      <c r="F186" s="32">
        <v>0.796525142970487</v>
      </c>
      <c r="G186" s="32">
        <v>0.70350055530871</v>
      </c>
      <c r="H186" s="32">
        <v>0.0627181587665046</v>
      </c>
      <c r="I186" s="33">
        <v>3186351625.56</v>
      </c>
      <c r="J186" s="34">
        <v>0.0327217381077132</v>
      </c>
      <c r="K186" s="33">
        <v>1056951436.81</v>
      </c>
      <c r="L186" s="34">
        <v>0.0176264079747926</v>
      </c>
    </row>
  </sheetData>
  <mergeCells count="1">
    <mergeCell ref="A1:L1"/>
  </mergeCells>
  <conditionalFormatting sqref="F3:F186">
    <cfRule type="cellIs" dxfId="0" priority="6" operator="lessThan">
      <formula>0.7965</formula>
    </cfRule>
  </conditionalFormatting>
  <conditionalFormatting sqref="G3:G185">
    <cfRule type="cellIs" dxfId="0" priority="5" operator="lessThan">
      <formula>0.7035</formula>
    </cfRule>
  </conditionalFormatting>
  <conditionalFormatting sqref="J3:J185">
    <cfRule type="cellIs" dxfId="1" priority="2" operator="greaterThan">
      <formula>0.0327</formula>
    </cfRule>
  </conditionalFormatting>
  <conditionalFormatting sqref="L3:L185">
    <cfRule type="cellIs" dxfId="1" priority="1" operator="greaterThan">
      <formula>0.0176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Ticket Size</vt:lpstr>
      <vt:lpstr>12 Months Portfolio</vt:lpstr>
      <vt:lpstr>Portfolio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Maruf Billah - Manager - SMF Procuts</dc:creator>
  <cp:lastModifiedBy>Hadoop</cp:lastModifiedBy>
  <dcterms:created xsi:type="dcterms:W3CDTF">2026-04-20T07:52:00Z</dcterms:created>
  <dcterms:modified xsi:type="dcterms:W3CDTF">2026-04-27T11:36:20Z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8FB4460003DB4AAC86BC03DEC8BB2C13_12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